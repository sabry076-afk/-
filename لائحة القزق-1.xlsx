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الميناء السياحي\sabry\"/>
    </mc:Choice>
  </mc:AlternateContent>
  <xr:revisionPtr revIDLastSave="0" documentId="13_ncr:1000001_{7C8616FB-7C04-C04F-9084-B76108245D29}" xr6:coauthVersionLast="47" xr6:coauthVersionMax="47" xr10:uidLastSave="{00000000-0000-0000-0000-000000000000}"/>
  <bookViews>
    <workbookView xWindow="0" yWindow="0" windowWidth="15360" windowHeight="7665" firstSheet="1" activeTab="1" xr2:uid="{00000000-000D-0000-FFFF-FFFF00000000}"/>
  </bookViews>
  <sheets>
    <sheet name="الائحة" sheetId="18" state="hidden" r:id="rId1"/>
    <sheet name="حساب طلوع القزق" sheetId="2" r:id="rId2"/>
    <sheet name="مدة عادية" sheetId="3" state="hidden" r:id="rId3"/>
    <sheet name="1" sheetId="14" r:id="rId4"/>
    <sheet name="طواريء" sheetId="16" state="hidden" r:id="rId5"/>
    <sheet name="2" sheetId="15" r:id="rId6"/>
    <sheet name="انشاء " sheetId="17" state="hidden" r:id="rId7"/>
    <sheet name="3" sheetId="9" r:id="rId8"/>
    <sheet name="4" sheetId="20" r:id="rId9"/>
  </sheets>
  <externalReferences>
    <externalReference r:id="rId10"/>
    <externalReference r:id="rId11"/>
    <externalReference r:id="rId12"/>
  </externalReferences>
  <definedNames>
    <definedName name="client" localSheetId="3">#REF!</definedName>
    <definedName name="client" localSheetId="5">#REF!</definedName>
    <definedName name="client" localSheetId="7">#REF!</definedName>
    <definedName name="client" localSheetId="8">#REF!</definedName>
    <definedName name="client" localSheetId="6">#REF!</definedName>
    <definedName name="client" localSheetId="4">#REF!</definedName>
    <definedName name="client">#REF!</definedName>
    <definedName name="Clinets" localSheetId="3">#REF!</definedName>
    <definedName name="Clinets" localSheetId="5">#REF!</definedName>
    <definedName name="Clinets" localSheetId="7">#REF!</definedName>
    <definedName name="Clinets" localSheetId="8">#REF!</definedName>
    <definedName name="Clinets" localSheetId="6">#REF!</definedName>
    <definedName name="Clinets" localSheetId="4">#REF!</definedName>
    <definedName name="Clinets">#REF!</definedName>
    <definedName name="Country">OFFSET([1]القوائم!$B$2,,,COUNTA([1]القوائم!$B$2:$B$300),1)</definedName>
    <definedName name="data" localSheetId="8">#REF!</definedName>
    <definedName name="data" localSheetId="1">'[2]ادخال مستلزمات'!$A$3:$BZ$2003</definedName>
    <definedName name="data">#REF!</definedName>
    <definedName name="glos" localSheetId="8">#REF!</definedName>
    <definedName name="glos" localSheetId="1">'[2]ادخال مستلزمات'!$A$3:$A$2003</definedName>
    <definedName name="glos">#REF!</definedName>
    <definedName name="medicin">[3]مخزن!$C$6:$C$1071</definedName>
    <definedName name="MyData" localSheetId="8">#REF!</definedName>
    <definedName name="MyData">#REF!</definedName>
    <definedName name="name" localSheetId="3">#REF!</definedName>
    <definedName name="name" localSheetId="5">#REF!</definedName>
    <definedName name="name" localSheetId="7">#REF!</definedName>
    <definedName name="name" localSheetId="8">#REF!</definedName>
    <definedName name="name" localSheetId="6">#REF!</definedName>
    <definedName name="name" localSheetId="4">#REF!</definedName>
    <definedName name="name">#REF!</definedName>
    <definedName name="_xlnm.Print_Area" localSheetId="3">'1'!$B$2:$K$26</definedName>
    <definedName name="_xlnm.Print_Area" localSheetId="5">'2'!$B$2:$K$26</definedName>
    <definedName name="_xlnm.Print_Area" localSheetId="7">'3'!$B$2:$P$29</definedName>
    <definedName name="_xlnm.Print_Area" localSheetId="8">'4'!$B$2:$L$35</definedName>
    <definedName name="_xlnm.Print_Area" localSheetId="0">الائحة!$B$2:$G$43</definedName>
    <definedName name="_xlnm.Print_Area" localSheetId="6">'انشاء '!$B$2:$L$34</definedName>
    <definedName name="_xlnm.Print_Area" localSheetId="1">'حساب طلوع القزق'!$B$2:$L$17</definedName>
    <definedName name="_xlnm.Print_Area" localSheetId="4">طواريء!$B$2:$L$34</definedName>
    <definedName name="_xlnm.Print_Area" localSheetId="2">'مدة عادية'!$B$2:$L$34</definedName>
    <definedName name="_xlnm.Print_Area">#REF!</definedName>
    <definedName name="result" localSheetId="8">#REF!</definedName>
    <definedName name="result" localSheetId="1">'[2]ادخال مستلزمات'!$N$3:$N$2003</definedName>
    <definedName name="result">#REF!</definedName>
    <definedName name="الأدوية" localSheetId="3">OFFSET(#REF!,,,COUNTA(#REF!))</definedName>
    <definedName name="الأدوية" localSheetId="5">OFFSET(#REF!,,,COUNTA(#REF!))</definedName>
    <definedName name="الأدوية" localSheetId="7">OFFSET(#REF!,,,COUNTA(#REF!))</definedName>
    <definedName name="الأدوية" localSheetId="8">OFFSET(#REF!,,,COUNTA(#REF!))</definedName>
    <definedName name="الأدوية" localSheetId="6">OFFSET(#REF!,,,COUNTA(#REF!))</definedName>
    <definedName name="الأدوية" localSheetId="4">OFFSET(#REF!,,,COUNTA(#REF!))</definedName>
    <definedName name="الأدوية">OFFSET(#REF!,,,COUNTA(#REF!))</definedName>
    <definedName name="الأطباء" localSheetId="3">OFFSET(#REF!,,,COUNTA(#REF!))</definedName>
    <definedName name="الأطباء" localSheetId="5">OFFSET(#REF!,,,COUNTA(#REF!))</definedName>
    <definedName name="الأطباء" localSheetId="7">OFFSET(#REF!,,,COUNTA(#REF!))</definedName>
    <definedName name="الأطباء" localSheetId="8">OFFSET(#REF!,,,COUNTA(#REF!))</definedName>
    <definedName name="الأطباء" localSheetId="6">OFFSET(#REF!,,,COUNTA(#REF!))</definedName>
    <definedName name="الأطباء" localSheetId="4">OFFSET(#REF!,,,COUNTA(#REF!))</definedName>
    <definedName name="الأطباء">OFFSET(#REF!,,,COUNTA(#REF!))</definedName>
    <definedName name="الجنس" localSheetId="3">#REF!</definedName>
    <definedName name="الجنس" localSheetId="5">#REF!</definedName>
    <definedName name="الجنس" localSheetId="7">#REF!</definedName>
    <definedName name="الجنس" localSheetId="8">#REF!</definedName>
    <definedName name="الجنس" localSheetId="6">#REF!</definedName>
    <definedName name="الجنس" localSheetId="4">#REF!</definedName>
    <definedName name="الجنس">#REF!</definedName>
    <definedName name="الجنسيات" localSheetId="3">OFFSET(#REF!,,,COUNTA(#REF!))</definedName>
    <definedName name="الجنسيات" localSheetId="5">OFFSET(#REF!,,,COUNTA(#REF!))</definedName>
    <definedName name="الجنسيات" localSheetId="7">OFFSET(#REF!,,,COUNTA(#REF!))</definedName>
    <definedName name="الجنسيات" localSheetId="8">OFFSET(#REF!,,,COUNTA(#REF!))</definedName>
    <definedName name="الجنسيات" localSheetId="6">OFFSET(#REF!,,,COUNTA(#REF!))</definedName>
    <definedName name="الجنسيات" localSheetId="4">OFFSET(#REF!,,,COUNTA(#REF!))</definedName>
    <definedName name="الجنسيات">OFFSET(#REF!,,,COUNTA(#REF!))</definedName>
    <definedName name="العيادات" localSheetId="3">OFFSET(#REF!,,,COUNTA(#REF!))</definedName>
    <definedName name="العيادات" localSheetId="5">OFFSET(#REF!,,,COUNTA(#REF!))</definedName>
    <definedName name="العيادات" localSheetId="7">OFFSET(#REF!,,,COUNTA(#REF!))</definedName>
    <definedName name="العيادات" localSheetId="8">OFFSET(#REF!,,,COUNTA(#REF!))</definedName>
    <definedName name="العيادات" localSheetId="6">OFFSET(#REF!,,,COUNTA(#REF!))</definedName>
    <definedName name="العيادات" localSheetId="4">OFFSET(#REF!,,,COUNTA(#REF!))</definedName>
    <definedName name="العيادات">OFFSET(#REF!,,,COUNTA(#REF!))</definedName>
    <definedName name="المرض" localSheetId="3">OFFSET(#REF!,,,COUNTA(#REF!))</definedName>
    <definedName name="المرض" localSheetId="5">OFFSET(#REF!,,,COUNTA(#REF!))</definedName>
    <definedName name="المرض" localSheetId="7">OFFSET(#REF!,,,COUNTA(#REF!))</definedName>
    <definedName name="المرض" localSheetId="8">OFFSET(#REF!,,,COUNTA(#REF!))</definedName>
    <definedName name="المرض" localSheetId="6">OFFSET(#REF!,,,COUNTA(#REF!))</definedName>
    <definedName name="المرض" localSheetId="4">OFFSET(#REF!,,,COUNTA(#REF!))</definedName>
    <definedName name="المرض">OFFSET(#REF!,,,COUNTA(#REF!))</definedName>
    <definedName name="انشاء" localSheetId="3">OFFSET(#REF!,,,COUNTA(#REF!))</definedName>
    <definedName name="انشاء" localSheetId="5">OFFSET(#REF!,,,COUNTA(#REF!))</definedName>
    <definedName name="انشاء" localSheetId="8">OFFSET(#REF!,,,COUNTA(#REF!))</definedName>
    <definedName name="انشاء" localSheetId="6">OFFSET(#REF!,,,COUNTA(#REF!))</definedName>
    <definedName name="انشاء" localSheetId="4">OFFSET(#REF!,,,COUNTA(#REF!))</definedName>
    <definedName name="انشاء">OFFSET(#REF!,,,COUNTA(#REF!))</definedName>
    <definedName name="بيان" localSheetId="5">OFFSET(#REF!,,,COUNTA(#REF!))</definedName>
    <definedName name="بيان" localSheetId="8">OFFSET(#REF!,,,COUNTA(#REF!))</definedName>
    <definedName name="بيان" localSheetId="6">OFFSET(#REF!,,,COUNTA(#REF!))</definedName>
    <definedName name="بيان" localSheetId="4">OFFSET(#REF!,,,COUNTA(#REF!))</definedName>
    <definedName name="بيان">OFFSET(#REF!,,,COUNTA(#REF!))</definedName>
    <definedName name="تاتت" localSheetId="8">#REF!</definedName>
    <definedName name="تاتت">#REF!</definedName>
    <definedName name="مستلزمات" localSheetId="8">#REF!</definedName>
    <definedName name="مستلزمات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9" l="1"/>
  <c r="D12" i="9"/>
  <c r="D8" i="9"/>
  <c r="E11" i="9"/>
  <c r="D7" i="9"/>
  <c r="D6" i="9"/>
  <c r="D16" i="20"/>
  <c r="F13" i="20"/>
  <c r="H16" i="20"/>
  <c r="D13" i="20"/>
  <c r="I9" i="20"/>
  <c r="F9" i="20"/>
  <c r="C9" i="20"/>
  <c r="C9" i="2"/>
  <c r="H11" i="9"/>
  <c r="J11" i="9"/>
  <c r="K9" i="2"/>
  <c r="K12" i="2"/>
  <c r="K16" i="2"/>
  <c r="H13" i="20"/>
  <c r="I13" i="2"/>
  <c r="E9" i="2"/>
  <c r="G9" i="2"/>
  <c r="I9" i="2"/>
  <c r="I12" i="2"/>
  <c r="D10" i="9"/>
  <c r="H12" i="9"/>
  <c r="G13" i="2"/>
  <c r="D20" i="20"/>
  <c r="I11" i="2"/>
  <c r="I14" i="2"/>
  <c r="I15" i="2"/>
  <c r="I16" i="2"/>
  <c r="D14" i="9"/>
  <c r="E13" i="17"/>
  <c r="C13" i="17"/>
  <c r="I9" i="17"/>
  <c r="E9" i="17"/>
  <c r="C9" i="17"/>
  <c r="H13" i="9"/>
  <c r="J13" i="9"/>
  <c r="D11" i="15"/>
  <c r="D10" i="15"/>
  <c r="F13" i="15"/>
  <c r="D9" i="15"/>
  <c r="D12" i="15"/>
  <c r="D8" i="15"/>
  <c r="D7" i="15"/>
  <c r="E13" i="16"/>
  <c r="C13" i="16"/>
  <c r="I9" i="16"/>
  <c r="E9" i="16"/>
  <c r="C9" i="16"/>
  <c r="D11" i="14"/>
  <c r="D10" i="14"/>
  <c r="F13" i="14"/>
  <c r="D9" i="14"/>
  <c r="D12" i="14"/>
  <c r="D8" i="14"/>
  <c r="D7" i="14"/>
  <c r="C5" i="14"/>
  <c r="E13" i="3"/>
  <c r="C13" i="3"/>
  <c r="I9" i="3"/>
  <c r="E9" i="3"/>
  <c r="C9" i="3"/>
  <c r="E13" i="2"/>
  <c r="J13" i="15"/>
  <c r="G12" i="2"/>
  <c r="F12" i="14"/>
  <c r="F11" i="15"/>
  <c r="J12" i="9"/>
  <c r="C15" i="9"/>
  <c r="H12" i="14"/>
  <c r="J13" i="14"/>
  <c r="H12" i="15"/>
  <c r="J12" i="15"/>
  <c r="E11" i="2"/>
  <c r="F11" i="14"/>
  <c r="F12" i="15"/>
  <c r="G11" i="2"/>
  <c r="E12" i="2"/>
  <c r="E14" i="2"/>
  <c r="J12" i="14"/>
  <c r="J11" i="15"/>
  <c r="J11" i="14"/>
  <c r="G14" i="2"/>
  <c r="G15" i="2"/>
  <c r="G16" i="2"/>
  <c r="E15" i="2"/>
  <c r="E16" i="2"/>
  <c r="I13" i="17"/>
  <c r="D14" i="14"/>
  <c r="I13" i="3"/>
  <c r="D14" i="15"/>
  <c r="I13" i="16"/>
</calcChain>
</file>

<file path=xl/sharedStrings.xml><?xml version="1.0" encoding="utf-8"?>
<sst xmlns="http://schemas.openxmlformats.org/spreadsheetml/2006/main" count="123" uniqueCount="53">
  <si>
    <t xml:space="preserve">عدد الأيام </t>
  </si>
  <si>
    <t xml:space="preserve">طلوع ونزول </t>
  </si>
  <si>
    <t xml:space="preserve">بقاء </t>
  </si>
  <si>
    <t xml:space="preserve">خدمة </t>
  </si>
  <si>
    <t xml:space="preserve">المبلغ </t>
  </si>
  <si>
    <t xml:space="preserve">الإجمالي </t>
  </si>
  <si>
    <t>اسم اللنش</t>
  </si>
  <si>
    <t xml:space="preserve">اسم المالك </t>
  </si>
  <si>
    <t xml:space="preserve">الطول </t>
  </si>
  <si>
    <t xml:space="preserve">يوم </t>
  </si>
  <si>
    <t xml:space="preserve">اسم اللنش </t>
  </si>
  <si>
    <t xml:space="preserve">اسم المالك / الوكيل </t>
  </si>
  <si>
    <t>متر</t>
  </si>
  <si>
    <t>×</t>
  </si>
  <si>
    <t xml:space="preserve">  =</t>
  </si>
  <si>
    <t xml:space="preserve"> </t>
  </si>
  <si>
    <t>꓿</t>
  </si>
  <si>
    <t xml:space="preserve">عادي </t>
  </si>
  <si>
    <t>طول اللنش</t>
  </si>
  <si>
    <t>انشاء</t>
  </si>
  <si>
    <t>اسم المالك</t>
  </si>
  <si>
    <t xml:space="preserve">النزول </t>
  </si>
  <si>
    <t xml:space="preserve">بيان مبلغ مستحق لانشاء عائمة  علي القزق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</si>
  <si>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</si>
  <si>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طواريء</t>
  </si>
  <si>
    <t>اسم العائمة</t>
  </si>
  <si>
    <t>الطول</t>
  </si>
  <si>
    <t>المبلغ المسدد</t>
  </si>
  <si>
    <t xml:space="preserve">مدة الحجز باليوم </t>
  </si>
  <si>
    <t>تاريخ الحجز</t>
  </si>
  <si>
    <t>بيان مبلغ مستحق لطلوع ونزول وبقاء علي القزق (مدة عادية )</t>
  </si>
  <si>
    <t>بيان مبلغ مستحق لطلوع ونزول وبقاء علي القزق (مدة طواريء)</t>
  </si>
  <si>
    <t>الشريحة للمتر الطولي</t>
  </si>
  <si>
    <t>بيان</t>
  </si>
  <si>
    <t>بيان مبلغ مستحق لطلوع ونزول وبقاء علي القزق (انشاء جديد)</t>
  </si>
  <si>
    <t>اسم المالك / الوكيل</t>
  </si>
  <si>
    <t>عدد أيام الانتظار</t>
  </si>
  <si>
    <t>المبلغ المستحق</t>
  </si>
  <si>
    <t>بيان مبلغ مستحق لمدة انتظار عائمة امام القزق</t>
  </si>
  <si>
    <t>الي</t>
  </si>
  <si>
    <t xml:space="preserve">مدة الانتظار من تاريخ </t>
  </si>
  <si>
    <t>ملحوظة: يكون نهاية اخر يوم للحجز في تمام نهاية يوم العمل المعتاد للقزق</t>
  </si>
  <si>
    <t>رقم التلفون</t>
  </si>
  <si>
    <t>طلوع ونزول</t>
  </si>
  <si>
    <t>بقاء عادي</t>
  </si>
  <si>
    <t>بقاء طواريء</t>
  </si>
  <si>
    <t>انتظار</t>
  </si>
  <si>
    <t>ط</t>
  </si>
  <si>
    <t>ض</t>
  </si>
  <si>
    <t>بيان مبلغ مستحق لطلوع ونزول وبقاء علي القزق (مدة طوريء )</t>
  </si>
  <si>
    <r>
      <rPr>
        <b/>
        <sz val="18"/>
        <color theme="0"/>
        <rFont val="PT Bold Heading"/>
        <charset val="178"/>
      </rPr>
      <t xml:space="preserve">حساب رسوم طلوع القزق  </t>
    </r>
    <r>
      <rPr>
        <b/>
        <sz val="18"/>
        <color theme="0"/>
        <rFont val="Arial"/>
        <family val="2"/>
      </rPr>
      <t>مدة (عادية - طواري-انشاء-انتظار )</t>
    </r>
  </si>
  <si>
    <t>شركة فسبر جروب</t>
  </si>
  <si>
    <t>فسبر3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</si>
</sst>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0000000000"/>
  </numFmts>
  <fonts count="73">
    <font>
      <sz val="10"/>
      <name val="Arial"/>
      <family val="2"/>
    </font>
    <font>
      <sz val="10"/>
      <name val="Arial"/>
      <family val="2"/>
    </font>
    <font>
      <sz val="11"/>
      <color indexed="8"/>
      <name val="Arial"/>
      <family val="2"/>
      <charset val="178"/>
    </font>
    <font>
      <b/>
      <sz val="16"/>
      <color indexed="12"/>
      <name val="Arial"/>
      <family val="2"/>
    </font>
    <font>
      <b/>
      <sz val="16"/>
      <color indexed="10"/>
      <name val="Arial"/>
      <family val="2"/>
    </font>
    <font>
      <b/>
      <sz val="16"/>
      <color indexed="12"/>
      <name val="Arial"/>
      <family val="2"/>
      <charset val="178"/>
    </font>
    <font>
      <b/>
      <sz val="16"/>
      <color indexed="17"/>
      <name val="Arial"/>
      <family val="2"/>
      <charset val="178"/>
    </font>
    <font>
      <b/>
      <sz val="14"/>
      <name val="Arial"/>
      <family val="2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4"/>
      <name val="Arial"/>
      <family val="2"/>
      <charset val="178"/>
    </font>
    <font>
      <b/>
      <sz val="13"/>
      <color indexed="54"/>
      <name val="Arial"/>
      <family val="2"/>
      <charset val="178"/>
    </font>
    <font>
      <b/>
      <sz val="11"/>
      <color indexed="54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sz val="11"/>
      <color theme="1"/>
      <name val="Arial"/>
      <family val="2"/>
      <charset val="178"/>
    </font>
    <font>
      <sz val="11"/>
      <color indexed="8"/>
      <name val="Arial"/>
      <family val="2"/>
    </font>
    <font>
      <b/>
      <sz val="11"/>
      <color indexed="63"/>
      <name val="Arial"/>
      <family val="2"/>
      <charset val="178"/>
    </font>
    <font>
      <b/>
      <sz val="18"/>
      <color indexed="54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b/>
      <sz val="16"/>
      <name val="Arial"/>
      <family val="2"/>
    </font>
    <font>
      <b/>
      <sz val="16"/>
      <color theme="0"/>
      <name val="Arial"/>
      <family val="2"/>
    </font>
    <font>
      <sz val="20"/>
      <name val="Arial"/>
      <family val="2"/>
    </font>
    <font>
      <sz val="20"/>
      <name val="Andalus"/>
      <family val="1"/>
    </font>
    <font>
      <b/>
      <sz val="22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b/>
      <sz val="16"/>
      <name val="Calibri"/>
      <family val="2"/>
    </font>
    <font>
      <b/>
      <sz val="16"/>
      <name val="Agency FB"/>
      <family val="2"/>
    </font>
    <font>
      <b/>
      <sz val="16"/>
      <name val="Aharoni"/>
      <charset val="177"/>
    </font>
    <font>
      <b/>
      <sz val="72"/>
      <name val="Arial"/>
      <family val="2"/>
    </font>
    <font>
      <b/>
      <sz val="16"/>
      <color rgb="FFFF0000"/>
      <name val="Arial"/>
      <family val="2"/>
    </font>
    <font>
      <b/>
      <sz val="20"/>
      <color theme="0"/>
      <name val="Arial"/>
      <family val="2"/>
    </font>
    <font>
      <b/>
      <sz val="20"/>
      <color theme="1"/>
      <name val="Arial"/>
      <family val="2"/>
    </font>
    <font>
      <b/>
      <sz val="12"/>
      <name val="Arial"/>
      <family val="2"/>
    </font>
    <font>
      <sz val="20"/>
      <name val="Arabic Typesetting"/>
      <family val="4"/>
    </font>
    <font>
      <sz val="14"/>
      <name val="PT Simple Bold Ruled"/>
      <charset val="178"/>
    </font>
    <font>
      <b/>
      <sz val="16"/>
      <name val="DecoType Thuluth"/>
      <charset val="178"/>
    </font>
    <font>
      <b/>
      <sz val="11"/>
      <name val="Arial"/>
      <family val="2"/>
    </font>
    <font>
      <b/>
      <sz val="22"/>
      <name val="Calibri"/>
      <family val="2"/>
    </font>
    <font>
      <sz val="20"/>
      <color theme="0"/>
      <name val="Arial"/>
      <family val="2"/>
    </font>
    <font>
      <b/>
      <sz val="20"/>
      <color rgb="FFFFFF00"/>
      <name val="Arial"/>
      <family val="2"/>
    </font>
    <font>
      <b/>
      <sz val="16"/>
      <color theme="1"/>
      <name val="Arial"/>
      <family val="2"/>
    </font>
    <font>
      <b/>
      <sz val="18"/>
      <name val="Monotype Koufi"/>
      <charset val="178"/>
    </font>
    <font>
      <b/>
      <sz val="22"/>
      <name val="Arial"/>
      <family val="2"/>
      <scheme val="minor"/>
    </font>
    <font>
      <b/>
      <sz val="20"/>
      <name val="Arial"/>
      <family val="2"/>
      <scheme val="minor"/>
    </font>
    <font>
      <b/>
      <sz val="18"/>
      <color theme="0"/>
      <name val="Arial"/>
      <family val="2"/>
    </font>
    <font>
      <b/>
      <sz val="28"/>
      <color theme="0"/>
      <name val="Arial"/>
      <family val="2"/>
    </font>
    <font>
      <b/>
      <sz val="22"/>
      <color theme="0"/>
      <name val="Arial"/>
      <family val="2"/>
    </font>
    <font>
      <b/>
      <sz val="14"/>
      <color theme="1"/>
      <name val="Arial"/>
      <family val="2"/>
    </font>
    <font>
      <b/>
      <sz val="18"/>
      <color rgb="FFFFFF00"/>
      <name val="Arial"/>
      <family val="2"/>
    </font>
    <font>
      <b/>
      <sz val="18"/>
      <name val="Arial"/>
      <family val="2"/>
      <scheme val="minor"/>
    </font>
    <font>
      <b/>
      <sz val="16"/>
      <name val="Arial"/>
      <family val="2"/>
      <scheme val="minor"/>
    </font>
    <font>
      <b/>
      <sz val="16"/>
      <name val="Monotype Koufi"/>
      <charset val="178"/>
    </font>
    <font>
      <b/>
      <sz val="16"/>
      <color theme="0" tint="-0.34998626667073579"/>
      <name val="Arial"/>
      <family val="2"/>
    </font>
    <font>
      <b/>
      <sz val="16"/>
      <color rgb="FFFFFF00"/>
      <name val="Arial"/>
      <family val="2"/>
    </font>
    <font>
      <b/>
      <sz val="10"/>
      <color rgb="FFFFFF00"/>
      <name val="Arial"/>
      <family val="2"/>
    </font>
    <font>
      <b/>
      <sz val="18"/>
      <color theme="0"/>
      <name val="PT Bold Heading"/>
      <charset val="178"/>
    </font>
    <font>
      <b/>
      <sz val="10"/>
      <name val="Arial"/>
      <family val="2"/>
    </font>
    <font>
      <b/>
      <sz val="9"/>
      <color rgb="FFFFFF00"/>
      <name val="Arial"/>
      <family val="2"/>
    </font>
    <font>
      <sz val="9"/>
      <name val="Arial"/>
      <family val="2"/>
    </font>
    <font>
      <b/>
      <sz val="10"/>
      <color theme="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  <diagonal/>
    </border>
    <border>
      <left/>
      <right style="thick">
        <color rgb="FFFFFF00"/>
      </right>
      <top/>
      <bottom/>
      <diagonal/>
    </border>
    <border>
      <left style="thick">
        <color rgb="FFFFFF00"/>
      </left>
      <right/>
      <top style="thick">
        <color rgb="FFFFFF00"/>
      </top>
      <bottom style="thick">
        <color rgb="FFFFFF00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rgb="FFFFFF00"/>
      </left>
      <right style="thick">
        <color rgb="FFFFFF00"/>
      </right>
      <top/>
      <bottom/>
      <diagonal/>
    </border>
  </borders>
  <cellStyleXfs count="88">
    <xf numFmtId="0" fontId="0" fillId="0" borderId="0"/>
    <xf numFmtId="0" fontId="2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6" borderId="0" applyNumberFormat="0" applyBorder="0" applyAlignment="0" applyProtection="0"/>
    <xf numFmtId="0" fontId="8" fillId="11" borderId="0" applyNumberFormat="0" applyBorder="0" applyAlignment="0" applyProtection="0"/>
    <xf numFmtId="0" fontId="8" fillId="4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8" fillId="17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16" borderId="0" applyNumberFormat="0" applyBorder="0" applyAlignment="0" applyProtection="0"/>
    <xf numFmtId="0" fontId="8" fillId="24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0" fillId="12" borderId="1" applyNumberFormat="0" applyAlignment="0" applyProtection="0"/>
    <xf numFmtId="0" fontId="11" fillId="23" borderId="2" applyNumberFormat="0" applyAlignment="0" applyProtection="0"/>
    <xf numFmtId="0" fontId="12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4" borderId="1" applyNumberFormat="0" applyAlignment="0" applyProtection="0"/>
    <xf numFmtId="0" fontId="18" fillId="0" borderId="6" applyNumberFormat="0" applyFill="0" applyAlignment="0" applyProtection="0"/>
    <xf numFmtId="0" fontId="19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0" fillId="0" borderId="0"/>
    <xf numFmtId="0" fontId="21" fillId="6" borderId="7" applyNumberFormat="0" applyFont="0" applyAlignment="0" applyProtection="0"/>
    <xf numFmtId="0" fontId="22" fillId="12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2" fillId="12" borderId="8" applyNumberFormat="0" applyAlignment="0" applyProtection="0"/>
    <xf numFmtId="0" fontId="17" fillId="4" borderId="1" applyNumberFormat="0" applyAlignment="0" applyProtection="0"/>
    <xf numFmtId="0" fontId="24" fillId="0" borderId="10" applyNumberFormat="0" applyFill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18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22" borderId="0" applyNumberFormat="0" applyBorder="0" applyAlignment="0" applyProtection="0"/>
    <xf numFmtId="0" fontId="13" fillId="8" borderId="0" applyNumberFormat="0" applyBorder="0" applyAlignment="0" applyProtection="0"/>
    <xf numFmtId="0" fontId="10" fillId="12" borderId="1" applyNumberFormat="0" applyAlignment="0" applyProtection="0"/>
    <xf numFmtId="0" fontId="11" fillId="23" borderId="2" applyNumberFormat="0" applyAlignment="0" applyProtection="0"/>
    <xf numFmtId="0" fontId="18" fillId="0" borderId="6" applyNumberFormat="0" applyFill="0" applyAlignment="0" applyProtection="0"/>
    <xf numFmtId="0" fontId="9" fillId="9" borderId="0" applyNumberFormat="0" applyBorder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0" borderId="12" applyNumberFormat="0" applyFill="0" applyAlignment="0" applyProtection="0"/>
    <xf numFmtId="0" fontId="29" fillId="0" borderId="13" applyNumberFormat="0" applyFill="0" applyAlignment="0" applyProtection="0"/>
    <xf numFmtId="0" fontId="29" fillId="0" borderId="0" applyNumberFormat="0" applyFill="0" applyBorder="0" applyAlignment="0" applyProtection="0"/>
    <xf numFmtId="0" fontId="19" fillId="13" borderId="0" applyNumberFormat="0" applyBorder="0" applyAlignment="0" applyProtection="0"/>
    <xf numFmtId="0" fontId="2" fillId="6" borderId="7" applyNumberFormat="0" applyFont="0" applyAlignment="0" applyProtection="0"/>
    <xf numFmtId="0" fontId="25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232">
    <xf numFmtId="0" fontId="0" fillId="0" borderId="0" xfId="0"/>
    <xf numFmtId="0" fontId="32" fillId="0" borderId="0" xfId="0" applyFont="1"/>
    <xf numFmtId="0" fontId="32" fillId="0" borderId="0" xfId="0" applyFont="1" applyBorder="1"/>
    <xf numFmtId="0" fontId="30" fillId="0" borderId="0" xfId="0" applyFont="1" applyBorder="1" applyAlignment="1">
      <alignment readingOrder="2"/>
    </xf>
    <xf numFmtId="0" fontId="35" fillId="0" borderId="0" xfId="0" applyFont="1" applyBorder="1" applyAlignment="1">
      <alignment horizontal="center" vertical="center" readingOrder="2"/>
    </xf>
    <xf numFmtId="0" fontId="0" fillId="0" borderId="0" xfId="0" applyBorder="1"/>
    <xf numFmtId="1" fontId="7" fillId="0" borderId="0" xfId="0" applyNumberFormat="1" applyFont="1" applyBorder="1" applyAlignment="1">
      <alignment readingOrder="2"/>
    </xf>
    <xf numFmtId="0" fontId="7" fillId="0" borderId="0" xfId="0" applyFont="1" applyBorder="1" applyAlignment="1">
      <alignment readingOrder="2"/>
    </xf>
    <xf numFmtId="0" fontId="38" fillId="0" borderId="0" xfId="0" applyFont="1" applyBorder="1" applyAlignment="1">
      <alignment horizontal="center" vertical="center" readingOrder="2"/>
    </xf>
    <xf numFmtId="0" fontId="39" fillId="0" borderId="0" xfId="0" applyFont="1" applyBorder="1" applyAlignment="1">
      <alignment horizontal="right"/>
    </xf>
    <xf numFmtId="1" fontId="30" fillId="0" borderId="0" xfId="0" applyNumberFormat="1" applyFont="1" applyBorder="1" applyAlignment="1">
      <alignment readingOrder="2"/>
    </xf>
    <xf numFmtId="0" fontId="30" fillId="0" borderId="0" xfId="0" applyFont="1" applyBorder="1"/>
    <xf numFmtId="0" fontId="40" fillId="0" borderId="0" xfId="0" applyFont="1" applyBorder="1" applyAlignment="1">
      <alignment horizontal="right" vertical="center"/>
    </xf>
    <xf numFmtId="0" fontId="30" fillId="0" borderId="0" xfId="0" applyFont="1" applyBorder="1" applyAlignment="1">
      <alignment horizontal="center" readingOrder="2"/>
    </xf>
    <xf numFmtId="1" fontId="45" fillId="0" borderId="0" xfId="0" applyNumberFormat="1" applyFont="1" applyBorder="1" applyAlignment="1">
      <alignment readingOrder="2"/>
    </xf>
    <xf numFmtId="0" fontId="0" fillId="0" borderId="16" xfId="0" applyBorder="1"/>
    <xf numFmtId="0" fontId="46" fillId="0" borderId="0" xfId="0" applyFont="1" applyBorder="1" applyAlignment="1"/>
    <xf numFmtId="0" fontId="46" fillId="0" borderId="0" xfId="0" applyFont="1" applyBorder="1" applyAlignment="1">
      <alignment horizontal="center"/>
    </xf>
    <xf numFmtId="0" fontId="46" fillId="0" borderId="0" xfId="0" applyFont="1" applyBorder="1" applyAlignment="1">
      <alignment vertical="top"/>
    </xf>
    <xf numFmtId="0" fontId="32" fillId="0" borderId="17" xfId="0" applyFont="1" applyBorder="1" applyAlignment="1">
      <alignment horizontal="center" vertical="center"/>
    </xf>
    <xf numFmtId="0" fontId="0" fillId="0" borderId="24" xfId="0" applyBorder="1"/>
    <xf numFmtId="0" fontId="32" fillId="0" borderId="27" xfId="0" applyFont="1" applyBorder="1"/>
    <xf numFmtId="0" fontId="32" fillId="0" borderId="21" xfId="0" applyFont="1" applyBorder="1"/>
    <xf numFmtId="0" fontId="0" fillId="0" borderId="28" xfId="0" applyBorder="1"/>
    <xf numFmtId="0" fontId="0" fillId="0" borderId="29" xfId="0" applyBorder="1"/>
    <xf numFmtId="0" fontId="0" fillId="0" borderId="27" xfId="0" applyBorder="1"/>
    <xf numFmtId="0" fontId="32" fillId="0" borderId="17" xfId="0" applyFont="1" applyBorder="1"/>
    <xf numFmtId="0" fontId="39" fillId="0" borderId="17" xfId="0" applyFont="1" applyBorder="1" applyAlignment="1">
      <alignment horizontal="right"/>
    </xf>
    <xf numFmtId="0" fontId="7" fillId="0" borderId="17" xfId="0" applyFont="1" applyBorder="1" applyAlignment="1">
      <alignment horizontal="center" vertical="center" readingOrder="2"/>
    </xf>
    <xf numFmtId="0" fontId="30" fillId="0" borderId="27" xfId="0" applyFont="1" applyBorder="1" applyAlignment="1">
      <alignment horizontal="right" vertical="center" readingOrder="2"/>
    </xf>
    <xf numFmtId="0" fontId="7" fillId="0" borderId="30" xfId="0" applyFont="1" applyBorder="1" applyAlignment="1">
      <alignment readingOrder="2"/>
    </xf>
    <xf numFmtId="1" fontId="30" fillId="0" borderId="24" xfId="0" applyNumberFormat="1" applyFont="1" applyBorder="1" applyAlignment="1">
      <alignment readingOrder="2"/>
    </xf>
    <xf numFmtId="1" fontId="30" fillId="0" borderId="28" xfId="0" applyNumberFormat="1" applyFont="1" applyBorder="1" applyAlignment="1">
      <alignment horizontal="center" vertical="center" readingOrder="2"/>
    </xf>
    <xf numFmtId="0" fontId="32" fillId="28" borderId="18" xfId="0" applyFont="1" applyFill="1" applyBorder="1" applyAlignment="1">
      <alignment horizontal="center" vertical="center"/>
    </xf>
    <xf numFmtId="0" fontId="47" fillId="0" borderId="0" xfId="0" applyFont="1" applyBorder="1" applyAlignment="1">
      <alignment horizontal="center"/>
    </xf>
    <xf numFmtId="0" fontId="30" fillId="0" borderId="29" xfId="0" applyFont="1" applyBorder="1" applyAlignment="1">
      <alignment vertical="center" readingOrder="2"/>
    </xf>
    <xf numFmtId="0" fontId="49" fillId="0" borderId="17" xfId="0" applyFont="1" applyBorder="1" applyAlignment="1">
      <alignment horizontal="center" vertical="center" readingOrder="2"/>
    </xf>
    <xf numFmtId="0" fontId="38" fillId="0" borderId="17" xfId="0" applyFont="1" applyBorder="1" applyAlignment="1">
      <alignment horizontal="right" vertical="center" readingOrder="2"/>
    </xf>
    <xf numFmtId="0" fontId="51" fillId="0" borderId="0" xfId="0" applyFont="1"/>
    <xf numFmtId="0" fontId="47" fillId="0" borderId="0" xfId="0" applyFont="1" applyBorder="1" applyAlignment="1">
      <alignment vertical="top"/>
    </xf>
    <xf numFmtId="0" fontId="48" fillId="0" borderId="0" xfId="0" applyFont="1" applyBorder="1" applyAlignment="1">
      <alignment vertical="top"/>
    </xf>
    <xf numFmtId="0" fontId="36" fillId="0" borderId="18" xfId="0" applyFon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 readingOrder="2"/>
    </xf>
    <xf numFmtId="0" fontId="30" fillId="0" borderId="35" xfId="0" applyFont="1" applyBorder="1" applyAlignment="1">
      <alignment horizontal="center" vertical="center" readingOrder="2"/>
    </xf>
    <xf numFmtId="0" fontId="36" fillId="0" borderId="34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1" fontId="38" fillId="0" borderId="0" xfId="0" applyNumberFormat="1" applyFont="1" applyBorder="1" applyAlignment="1">
      <alignment readingOrder="2"/>
    </xf>
    <xf numFmtId="14" fontId="50" fillId="0" borderId="0" xfId="0" applyNumberFormat="1" applyFont="1" applyBorder="1" applyAlignment="1">
      <alignment readingOrder="2"/>
    </xf>
    <xf numFmtId="1" fontId="35" fillId="0" borderId="27" xfId="0" applyNumberFormat="1" applyFont="1" applyBorder="1" applyAlignment="1">
      <alignment horizontal="center" readingOrder="2"/>
    </xf>
    <xf numFmtId="0" fontId="35" fillId="0" borderId="17" xfId="0" applyFont="1" applyBorder="1" applyAlignment="1">
      <alignment horizontal="center" vertical="center" readingOrder="2"/>
    </xf>
    <xf numFmtId="0" fontId="0" fillId="0" borderId="17" xfId="0" applyBorder="1"/>
    <xf numFmtId="0" fontId="36" fillId="0" borderId="24" xfId="0" applyFont="1" applyBorder="1" applyAlignment="1">
      <alignment horizontal="center" vertical="center"/>
    </xf>
    <xf numFmtId="0" fontId="30" fillId="0" borderId="0" xfId="0" applyFont="1" applyBorder="1" applyAlignment="1">
      <alignment horizontal="right" vertical="center" readingOrder="2"/>
    </xf>
    <xf numFmtId="0" fontId="36" fillId="0" borderId="23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36" fillId="28" borderId="18" xfId="0" applyFont="1" applyFill="1" applyBorder="1" applyAlignment="1">
      <alignment horizontal="center" vertical="center"/>
    </xf>
    <xf numFmtId="0" fontId="0" fillId="28" borderId="0" xfId="0" applyFill="1"/>
    <xf numFmtId="0" fontId="30" fillId="0" borderId="31" xfId="0" applyFont="1" applyBorder="1" applyAlignment="1" applyProtection="1">
      <alignment horizontal="center" vertical="center" shrinkToFit="1"/>
      <protection hidden="1"/>
    </xf>
    <xf numFmtId="1" fontId="30" fillId="0" borderId="31" xfId="0" applyNumberFormat="1" applyFont="1" applyBorder="1" applyAlignment="1" applyProtection="1">
      <alignment horizontal="center" vertical="center" shrinkToFit="1"/>
      <protection hidden="1"/>
    </xf>
    <xf numFmtId="0" fontId="30" fillId="27" borderId="0" xfId="0" applyFont="1" applyFill="1" applyAlignment="1" applyProtection="1">
      <alignment horizontal="center" vertical="center" shrinkToFit="1"/>
      <protection locked="0"/>
    </xf>
    <xf numFmtId="0" fontId="30" fillId="0" borderId="0" xfId="0" applyFont="1" applyAlignment="1" applyProtection="1">
      <alignment horizontal="center" vertical="center" shrinkToFit="1"/>
      <protection locked="0"/>
    </xf>
    <xf numFmtId="0" fontId="41" fillId="0" borderId="0" xfId="0" applyFont="1" applyFill="1" applyBorder="1" applyAlignment="1" applyProtection="1">
      <alignment horizontal="center" vertical="center" shrinkToFit="1"/>
      <protection locked="0"/>
    </xf>
    <xf numFmtId="0" fontId="30" fillId="27" borderId="0" xfId="0" applyFont="1" applyFill="1" applyBorder="1" applyAlignment="1" applyProtection="1">
      <alignment vertical="center" shrinkToFit="1"/>
      <protection locked="0"/>
    </xf>
    <xf numFmtId="0" fontId="31" fillId="0" borderId="0" xfId="0" applyFont="1" applyFill="1" applyBorder="1" applyAlignment="1" applyProtection="1">
      <alignment horizontal="center" vertical="center" shrinkToFit="1"/>
      <protection locked="0"/>
    </xf>
    <xf numFmtId="0" fontId="30" fillId="27" borderId="32" xfId="0" applyFont="1" applyFill="1" applyBorder="1" applyAlignment="1" applyProtection="1">
      <alignment horizontal="center" vertical="center" shrinkToFit="1"/>
      <protection locked="0"/>
    </xf>
    <xf numFmtId="1" fontId="30" fillId="27" borderId="0" xfId="0" applyNumberFormat="1" applyFont="1" applyFill="1" applyBorder="1" applyAlignment="1" applyProtection="1">
      <alignment horizontal="center" vertical="center" shrinkToFit="1"/>
      <protection locked="0"/>
    </xf>
    <xf numFmtId="1" fontId="30" fillId="0" borderId="0" xfId="0" applyNumberFormat="1" applyFont="1" applyFill="1" applyBorder="1" applyAlignment="1" applyProtection="1">
      <alignment horizontal="center" vertical="center" shrinkToFit="1"/>
      <protection locked="0"/>
    </xf>
    <xf numFmtId="1" fontId="44" fillId="0" borderId="0" xfId="0" applyNumberFormat="1" applyFont="1" applyFill="1" applyBorder="1" applyAlignment="1" applyProtection="1">
      <alignment horizontal="center" vertical="center" shrinkToFit="1" readingOrder="2"/>
      <protection locked="0"/>
    </xf>
    <xf numFmtId="0" fontId="3" fillId="27" borderId="0" xfId="1" applyFont="1" applyFill="1" applyBorder="1" applyAlignment="1" applyProtection="1">
      <alignment horizontal="center" vertical="center" shrinkToFit="1"/>
      <protection locked="0"/>
    </xf>
    <xf numFmtId="0" fontId="57" fillId="0" borderId="0" xfId="0" applyFont="1" applyFill="1" applyBorder="1" applyAlignment="1" applyProtection="1">
      <alignment horizontal="center" vertical="center" shrinkToFit="1"/>
      <protection locked="0"/>
    </xf>
    <xf numFmtId="1" fontId="43" fillId="0" borderId="0" xfId="0" applyNumberFormat="1" applyFont="1" applyFill="1" applyBorder="1" applyAlignment="1" applyProtection="1">
      <alignment horizontal="center" vertical="center" shrinkToFit="1" readingOrder="2"/>
      <protection locked="0"/>
    </xf>
    <xf numFmtId="0" fontId="53" fillId="0" borderId="0" xfId="0" applyFont="1" applyAlignment="1" applyProtection="1">
      <alignment horizontal="center" vertical="center" shrinkToFit="1"/>
      <protection locked="0"/>
    </xf>
    <xf numFmtId="0" fontId="5" fillId="27" borderId="0" xfId="1" applyFont="1" applyFill="1" applyBorder="1" applyAlignment="1" applyProtection="1">
      <alignment horizontal="center" vertical="center" shrinkToFit="1"/>
      <protection locked="0"/>
    </xf>
    <xf numFmtId="0" fontId="36" fillId="27" borderId="0" xfId="0" applyFont="1" applyFill="1" applyBorder="1" applyAlignment="1" applyProtection="1">
      <alignment horizontal="center" vertical="center" shrinkToFit="1" readingOrder="2"/>
      <protection locked="0"/>
    </xf>
    <xf numFmtId="0" fontId="43" fillId="0" borderId="0" xfId="0" applyFont="1" applyFill="1" applyBorder="1" applyAlignment="1" applyProtection="1">
      <alignment horizontal="center" vertical="center" shrinkToFit="1" readingOrder="2"/>
      <protection locked="0"/>
    </xf>
    <xf numFmtId="1" fontId="3" fillId="27" borderId="0" xfId="1" applyNumberFormat="1" applyFont="1" applyFill="1" applyBorder="1" applyAlignment="1" applyProtection="1">
      <alignment horizontal="center" vertical="center" shrinkToFit="1"/>
      <protection locked="0"/>
    </xf>
    <xf numFmtId="0" fontId="36" fillId="0" borderId="0" xfId="0" applyFont="1" applyFill="1" applyBorder="1" applyAlignment="1" applyProtection="1">
      <alignment horizontal="center" vertical="center" shrinkToFit="1" readingOrder="2"/>
      <protection locked="0"/>
    </xf>
    <xf numFmtId="49" fontId="5" fillId="27" borderId="0" xfId="1" applyNumberFormat="1" applyFont="1" applyFill="1" applyBorder="1" applyAlignment="1" applyProtection="1">
      <alignment horizontal="center" vertical="center" shrinkToFit="1"/>
      <protection locked="0"/>
    </xf>
    <xf numFmtId="1" fontId="36" fillId="27" borderId="0" xfId="0" applyNumberFormat="1" applyFont="1" applyFill="1" applyBorder="1" applyAlignment="1" applyProtection="1">
      <alignment horizontal="center" vertical="center" shrinkToFit="1" readingOrder="2"/>
      <protection locked="0"/>
    </xf>
    <xf numFmtId="1" fontId="36" fillId="0" borderId="0" xfId="0" applyNumberFormat="1" applyFont="1" applyFill="1" applyBorder="1" applyAlignment="1" applyProtection="1">
      <alignment horizontal="center" vertical="center" shrinkToFit="1" readingOrder="2"/>
      <protection locked="0"/>
    </xf>
    <xf numFmtId="49" fontId="4" fillId="27" borderId="0" xfId="1" applyNumberFormat="1" applyFont="1" applyFill="1" applyBorder="1" applyAlignment="1" applyProtection="1">
      <alignment horizontal="center" vertical="center" shrinkToFit="1"/>
      <protection locked="0"/>
    </xf>
    <xf numFmtId="0" fontId="6" fillId="27" borderId="0" xfId="1" applyFont="1" applyFill="1" applyBorder="1" applyAlignment="1" applyProtection="1">
      <alignment horizontal="center" vertical="center" shrinkToFit="1"/>
      <protection locked="0"/>
    </xf>
    <xf numFmtId="1" fontId="59" fillId="0" borderId="0" xfId="0" applyNumberFormat="1" applyFont="1" applyFill="1" applyBorder="1" applyAlignment="1" applyProtection="1">
      <alignment horizontal="center" vertical="center" shrinkToFit="1" readingOrder="2"/>
      <protection locked="0"/>
    </xf>
    <xf numFmtId="164" fontId="6" fillId="27" borderId="0" xfId="1" applyNumberFormat="1" applyFont="1" applyFill="1" applyBorder="1" applyAlignment="1" applyProtection="1">
      <alignment horizontal="center" vertical="center" shrinkToFit="1"/>
      <protection locked="0"/>
    </xf>
    <xf numFmtId="0" fontId="31" fillId="27" borderId="0" xfId="0" applyFont="1" applyFill="1" applyBorder="1" applyAlignment="1" applyProtection="1">
      <alignment horizontal="center" vertical="center" shrinkToFit="1" readingOrder="2"/>
      <protection locked="0"/>
    </xf>
    <xf numFmtId="0" fontId="30" fillId="27" borderId="0" xfId="0" applyFont="1" applyFill="1" applyBorder="1" applyAlignment="1" applyProtection="1">
      <alignment horizontal="center" vertical="center" shrinkToFit="1" readingOrder="2"/>
      <protection locked="0"/>
    </xf>
    <xf numFmtId="164" fontId="6" fillId="26" borderId="0" xfId="1" applyNumberFormat="1" applyFont="1" applyFill="1" applyBorder="1" applyAlignment="1" applyProtection="1">
      <alignment horizontal="center" vertical="center" shrinkToFit="1"/>
      <protection locked="0"/>
    </xf>
    <xf numFmtId="1" fontId="30" fillId="0" borderId="0" xfId="0" applyNumberFormat="1" applyFont="1" applyBorder="1" applyAlignment="1" applyProtection="1">
      <alignment horizontal="center" vertical="center" shrinkToFit="1"/>
      <protection locked="0"/>
    </xf>
    <xf numFmtId="164" fontId="6" fillId="2" borderId="0" xfId="1" applyNumberFormat="1" applyFont="1" applyFill="1" applyBorder="1" applyAlignment="1" applyProtection="1">
      <alignment horizontal="center" vertical="center" shrinkToFit="1"/>
      <protection locked="0"/>
    </xf>
    <xf numFmtId="0" fontId="30" fillId="32" borderId="0" xfId="0" applyFont="1" applyFill="1" applyAlignment="1" applyProtection="1">
      <alignment horizontal="center" vertical="center" shrinkToFit="1"/>
      <protection locked="0"/>
    </xf>
    <xf numFmtId="0" fontId="42" fillId="27" borderId="0" xfId="0" applyFont="1" applyFill="1" applyBorder="1" applyAlignment="1" applyProtection="1">
      <alignment horizontal="center" vertical="center" shrinkToFit="1"/>
      <protection hidden="1"/>
    </xf>
    <xf numFmtId="1" fontId="45" fillId="0" borderId="0" xfId="0" applyNumberFormat="1" applyFont="1" applyBorder="1" applyAlignment="1">
      <alignment horizontal="center" readingOrder="2"/>
    </xf>
    <xf numFmtId="0" fontId="54" fillId="0" borderId="0" xfId="0" applyFont="1" applyAlignment="1">
      <alignment horizontal="center"/>
    </xf>
    <xf numFmtId="0" fontId="56" fillId="0" borderId="0" xfId="0" applyFont="1" applyBorder="1" applyAlignment="1">
      <alignment horizontal="center" vertical="center"/>
    </xf>
    <xf numFmtId="1" fontId="34" fillId="0" borderId="0" xfId="0" applyNumberFormat="1" applyFont="1" applyBorder="1" applyAlignment="1">
      <alignment readingOrder="2"/>
    </xf>
    <xf numFmtId="1" fontId="37" fillId="0" borderId="0" xfId="0" applyNumberFormat="1" applyFont="1" applyBorder="1" applyAlignment="1">
      <alignment readingOrder="2"/>
    </xf>
    <xf numFmtId="0" fontId="37" fillId="0" borderId="0" xfId="0" applyFont="1" applyBorder="1" applyAlignment="1">
      <alignment readingOrder="2"/>
    </xf>
    <xf numFmtId="0" fontId="30" fillId="0" borderId="0" xfId="0" applyFont="1" applyBorder="1" applyAlignment="1">
      <alignment vertical="center" readingOrder="2"/>
    </xf>
    <xf numFmtId="0" fontId="56" fillId="0" borderId="0" xfId="0" applyFont="1" applyBorder="1" applyAlignment="1">
      <alignment vertical="center"/>
    </xf>
    <xf numFmtId="0" fontId="32" fillId="0" borderId="0" xfId="0" applyFont="1" applyFill="1" applyBorder="1" applyAlignment="1">
      <alignment horizontal="center" vertical="center"/>
    </xf>
    <xf numFmtId="1" fontId="34" fillId="0" borderId="0" xfId="0" applyNumberFormat="1" applyFont="1" applyFill="1" applyBorder="1" applyAlignment="1">
      <alignment readingOrder="2"/>
    </xf>
    <xf numFmtId="0" fontId="54" fillId="0" borderId="0" xfId="0" applyFont="1" applyAlignment="1"/>
    <xf numFmtId="0" fontId="54" fillId="0" borderId="0" xfId="0" applyFont="1" applyAlignment="1">
      <alignment horizontal="center"/>
    </xf>
    <xf numFmtId="0" fontId="36" fillId="0" borderId="30" xfId="0" applyFont="1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2" fontId="34" fillId="0" borderId="29" xfId="0" applyNumberFormat="1" applyFont="1" applyBorder="1" applyAlignment="1">
      <alignment readingOrder="2"/>
    </xf>
    <xf numFmtId="14" fontId="34" fillId="0" borderId="24" xfId="0" applyNumberFormat="1" applyFont="1" applyBorder="1" applyAlignment="1">
      <alignment readingOrder="2"/>
    </xf>
    <xf numFmtId="0" fontId="7" fillId="0" borderId="30" xfId="0" applyFont="1" applyBorder="1" applyAlignment="1">
      <alignment vertical="center" readingOrder="2"/>
    </xf>
    <xf numFmtId="0" fontId="40" fillId="0" borderId="38" xfId="0" applyFont="1" applyBorder="1" applyAlignment="1">
      <alignment horizontal="right" vertical="center"/>
    </xf>
    <xf numFmtId="0" fontId="39" fillId="0" borderId="38" xfId="0" applyFont="1" applyBorder="1" applyAlignment="1">
      <alignment horizontal="right" vertical="center"/>
    </xf>
    <xf numFmtId="1" fontId="30" fillId="0" borderId="38" xfId="0" applyNumberFormat="1" applyFont="1" applyBorder="1" applyAlignment="1">
      <alignment horizontal="center" vertical="center" readingOrder="2"/>
    </xf>
    <xf numFmtId="0" fontId="0" fillId="0" borderId="0" xfId="0" applyFill="1"/>
    <xf numFmtId="0" fontId="32" fillId="0" borderId="0" xfId="0" applyFont="1" applyFill="1"/>
    <xf numFmtId="0" fontId="30" fillId="34" borderId="31" xfId="0" applyFont="1" applyFill="1" applyBorder="1" applyAlignment="1" applyProtection="1">
      <alignment horizontal="center" vertical="center" shrinkToFit="1"/>
      <protection locked="0"/>
    </xf>
    <xf numFmtId="0" fontId="30" fillId="30" borderId="31" xfId="0" applyFont="1" applyFill="1" applyBorder="1" applyAlignment="1" applyProtection="1">
      <alignment horizontal="center" vertical="center" shrinkToFit="1"/>
      <protection locked="0"/>
    </xf>
    <xf numFmtId="0" fontId="65" fillId="0" borderId="0" xfId="0" applyFont="1" applyAlignment="1" applyProtection="1">
      <alignment horizontal="center" vertical="center" shrinkToFit="1"/>
      <protection locked="0"/>
    </xf>
    <xf numFmtId="0" fontId="52" fillId="27" borderId="33" xfId="0" applyFont="1" applyFill="1" applyBorder="1" applyAlignment="1" applyProtection="1">
      <alignment horizontal="center" vertical="center" shrinkToFit="1"/>
      <protection locked="0"/>
    </xf>
    <xf numFmtId="0" fontId="52" fillId="27" borderId="0" xfId="0" applyFont="1" applyFill="1" applyBorder="1" applyAlignment="1" applyProtection="1">
      <alignment horizontal="center" vertical="center" shrinkToFit="1"/>
      <protection locked="0"/>
    </xf>
    <xf numFmtId="0" fontId="44" fillId="27" borderId="0" xfId="0" applyFont="1" applyFill="1" applyBorder="1" applyAlignment="1" applyProtection="1">
      <alignment horizontal="center" vertical="center" shrinkToFit="1"/>
      <protection locked="0"/>
    </xf>
    <xf numFmtId="0" fontId="45" fillId="27" borderId="0" xfId="0" applyFont="1" applyFill="1" applyBorder="1" applyAlignment="1" applyProtection="1">
      <alignment horizontal="center" vertical="center" shrinkToFit="1"/>
      <protection locked="0"/>
    </xf>
    <xf numFmtId="1" fontId="30" fillId="34" borderId="31" xfId="0" applyNumberFormat="1" applyFont="1" applyFill="1" applyBorder="1" applyAlignment="1" applyProtection="1">
      <alignment horizontal="center" vertical="center" shrinkToFit="1"/>
      <protection hidden="1"/>
    </xf>
    <xf numFmtId="1" fontId="30" fillId="30" borderId="31" xfId="0" applyNumberFormat="1" applyFont="1" applyFill="1" applyBorder="1" applyAlignment="1" applyProtection="1">
      <alignment horizontal="center" vertical="center" shrinkToFit="1"/>
      <protection hidden="1"/>
    </xf>
    <xf numFmtId="0" fontId="49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6" fillId="0" borderId="0" xfId="0" applyFont="1" applyFill="1" applyBorder="1" applyAlignment="1">
      <alignment vertical="center"/>
    </xf>
    <xf numFmtId="0" fontId="34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30" fillId="27" borderId="0" xfId="0" applyFont="1" applyFill="1" applyBorder="1" applyAlignment="1" applyProtection="1">
      <alignment horizontal="center" vertical="center" shrinkToFit="1"/>
      <protection locked="0"/>
    </xf>
    <xf numFmtId="0" fontId="58" fillId="0" borderId="0" xfId="0" applyFont="1" applyFill="1" applyBorder="1" applyAlignment="1" applyProtection="1">
      <alignment vertical="center" shrinkToFit="1"/>
      <protection locked="0"/>
    </xf>
    <xf numFmtId="0" fontId="58" fillId="27" borderId="0" xfId="0" applyFont="1" applyFill="1" applyBorder="1" applyAlignment="1" applyProtection="1">
      <alignment vertical="center" shrinkToFit="1"/>
      <protection locked="0"/>
    </xf>
    <xf numFmtId="0" fontId="61" fillId="27" borderId="0" xfId="0" applyFont="1" applyFill="1" applyBorder="1" applyAlignment="1" applyProtection="1">
      <alignment vertical="center" shrinkToFit="1"/>
      <protection locked="0"/>
    </xf>
    <xf numFmtId="14" fontId="30" fillId="27" borderId="0" xfId="0" applyNumberFormat="1" applyFont="1" applyFill="1" applyBorder="1" applyAlignment="1" applyProtection="1">
      <alignment horizontal="center" vertical="center" shrinkToFit="1"/>
      <protection locked="0"/>
    </xf>
    <xf numFmtId="0" fontId="31" fillId="27" borderId="0" xfId="0" applyFont="1" applyFill="1" applyBorder="1" applyAlignment="1" applyProtection="1">
      <alignment horizontal="center" vertical="center" shrinkToFit="1"/>
      <protection locked="0"/>
    </xf>
    <xf numFmtId="0" fontId="66" fillId="27" borderId="0" xfId="0" applyFont="1" applyFill="1" applyAlignment="1" applyProtection="1">
      <alignment horizontal="center" vertical="center" shrinkToFit="1"/>
      <protection locked="0"/>
    </xf>
    <xf numFmtId="0" fontId="67" fillId="0" borderId="0" xfId="0" applyFont="1"/>
    <xf numFmtId="0" fontId="60" fillId="27" borderId="0" xfId="0" applyFont="1" applyFill="1" applyBorder="1" applyAlignment="1" applyProtection="1">
      <alignment horizontal="center" vertical="center" shrinkToFit="1"/>
      <protection locked="0"/>
    </xf>
    <xf numFmtId="0" fontId="60" fillId="27" borderId="0" xfId="0" applyFont="1" applyFill="1" applyBorder="1" applyAlignment="1" applyProtection="1">
      <alignment vertical="center" shrinkToFit="1"/>
      <protection locked="0"/>
    </xf>
    <xf numFmtId="1" fontId="44" fillId="27" borderId="0" xfId="0" applyNumberFormat="1" applyFont="1" applyFill="1" applyBorder="1" applyAlignment="1" applyProtection="1">
      <alignment horizontal="center" vertical="center" shrinkToFit="1" readingOrder="2"/>
      <protection locked="0"/>
    </xf>
    <xf numFmtId="0" fontId="65" fillId="27" borderId="0" xfId="0" applyFont="1" applyFill="1" applyAlignment="1" applyProtection="1">
      <alignment horizontal="center" vertical="center" shrinkToFit="1"/>
      <protection locked="0"/>
    </xf>
    <xf numFmtId="0" fontId="30" fillId="0" borderId="0" xfId="0" applyFont="1" applyFill="1" applyBorder="1" applyAlignment="1" applyProtection="1">
      <alignment horizontal="center" vertical="center" shrinkToFit="1"/>
      <protection locked="0"/>
    </xf>
    <xf numFmtId="0" fontId="30" fillId="0" borderId="0" xfId="0" applyFont="1" applyBorder="1" applyAlignment="1" applyProtection="1">
      <alignment horizontal="center" vertical="center" shrinkToFit="1"/>
      <protection locked="0"/>
    </xf>
    <xf numFmtId="0" fontId="52" fillId="27" borderId="31" xfId="0" applyFont="1" applyFill="1" applyBorder="1" applyAlignment="1" applyProtection="1">
      <alignment horizontal="center" vertical="center" shrinkToFit="1"/>
      <protection locked="0"/>
    </xf>
    <xf numFmtId="0" fontId="44" fillId="31" borderId="31" xfId="0" applyFont="1" applyFill="1" applyBorder="1" applyAlignment="1" applyProtection="1">
      <alignment horizontal="center" vertical="center" shrinkToFit="1"/>
      <protection locked="0"/>
    </xf>
    <xf numFmtId="0" fontId="60" fillId="31" borderId="31" xfId="0" applyFont="1" applyFill="1" applyBorder="1" applyAlignment="1" applyProtection="1">
      <alignment horizontal="center" vertical="center" shrinkToFit="1"/>
      <protection locked="0"/>
    </xf>
    <xf numFmtId="0" fontId="30" fillId="27" borderId="39" xfId="0" applyFont="1" applyFill="1" applyBorder="1" applyAlignment="1" applyProtection="1">
      <alignment horizontal="center" vertical="center" shrinkToFit="1"/>
      <protection locked="0"/>
    </xf>
    <xf numFmtId="0" fontId="52" fillId="27" borderId="31" xfId="0" applyFont="1" applyFill="1" applyBorder="1" applyAlignment="1" applyProtection="1">
      <alignment vertical="center" shrinkToFit="1"/>
      <protection locked="0"/>
    </xf>
    <xf numFmtId="0" fontId="30" fillId="27" borderId="39" xfId="0" applyFont="1" applyFill="1" applyBorder="1" applyAlignment="1" applyProtection="1">
      <alignment vertical="center" shrinkToFit="1"/>
      <protection locked="0"/>
    </xf>
    <xf numFmtId="0" fontId="69" fillId="0" borderId="0" xfId="0" applyFont="1" applyFill="1" applyBorder="1" applyAlignment="1" applyProtection="1">
      <alignment horizontal="center" vertical="center" shrinkToFit="1"/>
      <protection hidden="1"/>
    </xf>
    <xf numFmtId="0" fontId="69" fillId="33" borderId="0" xfId="0" applyFont="1" applyFill="1" applyBorder="1" applyAlignment="1" applyProtection="1">
      <alignment horizontal="center" vertical="center" shrinkToFit="1"/>
      <protection hidden="1"/>
    </xf>
    <xf numFmtId="0" fontId="70" fillId="0" borderId="0" xfId="0" applyFont="1"/>
    <xf numFmtId="0" fontId="71" fillId="0" borderId="0" xfId="0" applyFont="1"/>
    <xf numFmtId="0" fontId="69" fillId="0" borderId="0" xfId="0" applyFont="1" applyFill="1" applyBorder="1" applyAlignment="1" applyProtection="1">
      <alignment horizontal="center"/>
      <protection hidden="1"/>
    </xf>
    <xf numFmtId="1" fontId="69" fillId="0" borderId="0" xfId="0" applyNumberFormat="1" applyFont="1" applyFill="1" applyBorder="1" applyAlignment="1" applyProtection="1">
      <alignment horizontal="center"/>
      <protection locked="0"/>
    </xf>
    <xf numFmtId="1" fontId="69" fillId="33" borderId="0" xfId="0" applyNumberFormat="1" applyFont="1" applyFill="1" applyBorder="1" applyAlignment="1" applyProtection="1">
      <alignment horizontal="center"/>
      <protection locked="0"/>
    </xf>
    <xf numFmtId="0" fontId="69" fillId="0" borderId="0" xfId="0" applyFont="1"/>
    <xf numFmtId="0" fontId="69" fillId="33" borderId="0" xfId="0" applyFont="1" applyFill="1"/>
    <xf numFmtId="0" fontId="72" fillId="35" borderId="0" xfId="0" applyFont="1" applyFill="1" applyAlignment="1">
      <alignment horizontal="center"/>
    </xf>
    <xf numFmtId="0" fontId="72" fillId="35" borderId="0" xfId="0" applyFont="1" applyFill="1"/>
    <xf numFmtId="0" fontId="42" fillId="27" borderId="0" xfId="0" applyFont="1" applyFill="1" applyBorder="1" applyAlignment="1" applyProtection="1">
      <alignment horizontal="center" vertical="center" shrinkToFit="1"/>
      <protection locked="0"/>
    </xf>
    <xf numFmtId="0" fontId="30" fillId="0" borderId="31" xfId="0" applyFont="1" applyBorder="1" applyAlignment="1" applyProtection="1">
      <alignment horizontal="center" vertical="center" shrinkToFit="1"/>
      <protection locked="0"/>
    </xf>
    <xf numFmtId="1" fontId="42" fillId="0" borderId="31" xfId="0" applyNumberFormat="1" applyFont="1" applyBorder="1" applyAlignment="1" applyProtection="1">
      <alignment horizontal="center" vertical="center" shrinkToFit="1"/>
      <protection locked="0"/>
    </xf>
    <xf numFmtId="1" fontId="30" fillId="0" borderId="31" xfId="0" applyNumberFormat="1" applyFont="1" applyBorder="1" applyAlignment="1" applyProtection="1">
      <alignment horizontal="center" vertical="center" shrinkToFit="1"/>
      <protection locked="0"/>
    </xf>
    <xf numFmtId="1" fontId="30" fillId="29" borderId="31" xfId="0" applyNumberFormat="1" applyFont="1" applyFill="1" applyBorder="1" applyAlignment="1" applyProtection="1">
      <alignment horizontal="center" vertical="center" shrinkToFit="1"/>
      <protection locked="0"/>
    </xf>
    <xf numFmtId="0" fontId="30" fillId="0" borderId="0" xfId="0" applyFont="1" applyBorder="1" applyAlignment="1" applyProtection="1">
      <alignment horizontal="center" vertical="center" shrinkToFit="1"/>
      <protection locked="0"/>
    </xf>
    <xf numFmtId="0" fontId="35" fillId="0" borderId="0" xfId="0" applyFont="1" applyFill="1" applyBorder="1" applyAlignment="1" applyProtection="1">
      <alignment horizontal="center" vertical="center" shrinkToFit="1"/>
      <protection locked="0"/>
    </xf>
    <xf numFmtId="0" fontId="30" fillId="0" borderId="0" xfId="0" applyFont="1" applyFill="1" applyBorder="1" applyAlignment="1" applyProtection="1">
      <alignment horizontal="center" vertical="center" shrinkToFit="1"/>
      <protection locked="0"/>
    </xf>
    <xf numFmtId="0" fontId="57" fillId="27" borderId="0" xfId="0" applyFont="1" applyFill="1" applyBorder="1" applyAlignment="1" applyProtection="1">
      <alignment horizontal="center" vertical="center" wrapText="1" shrinkToFit="1"/>
      <protection locked="0"/>
    </xf>
    <xf numFmtId="0" fontId="54" fillId="0" borderId="0" xfId="0" applyFont="1" applyAlignment="1">
      <alignment horizontal="center"/>
    </xf>
    <xf numFmtId="0" fontId="56" fillId="28" borderId="15" xfId="0" applyFont="1" applyFill="1" applyBorder="1" applyAlignment="1">
      <alignment horizontal="center" vertical="center"/>
    </xf>
    <xf numFmtId="0" fontId="56" fillId="28" borderId="36" xfId="0" applyFont="1" applyFill="1" applyBorder="1" applyAlignment="1">
      <alignment horizontal="center" vertical="center"/>
    </xf>
    <xf numFmtId="0" fontId="56" fillId="28" borderId="37" xfId="0" applyFont="1" applyFill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36" xfId="0" applyFont="1" applyBorder="1" applyAlignment="1">
      <alignment horizontal="center" vertical="center"/>
    </xf>
    <xf numFmtId="0" fontId="56" fillId="0" borderId="37" xfId="0" applyFont="1" applyBorder="1" applyAlignment="1">
      <alignment horizontal="center" vertical="center"/>
    </xf>
    <xf numFmtId="0" fontId="56" fillId="28" borderId="14" xfId="0" applyFont="1" applyFill="1" applyBorder="1" applyAlignment="1">
      <alignment horizontal="center" vertical="center"/>
    </xf>
    <xf numFmtId="0" fontId="63" fillId="28" borderId="14" xfId="0" applyFont="1" applyFill="1" applyBorder="1" applyAlignment="1">
      <alignment horizontal="center" vertical="center"/>
    </xf>
    <xf numFmtId="0" fontId="62" fillId="0" borderId="15" xfId="0" applyFont="1" applyBorder="1" applyAlignment="1">
      <alignment horizontal="center" vertical="center"/>
    </xf>
    <xf numFmtId="0" fontId="62" fillId="0" borderId="36" xfId="0" applyFont="1" applyBorder="1" applyAlignment="1">
      <alignment horizontal="center" vertical="center"/>
    </xf>
    <xf numFmtId="0" fontId="62" fillId="0" borderId="37" xfId="0" applyFont="1" applyBorder="1" applyAlignment="1">
      <alignment horizontal="center" vertical="center"/>
    </xf>
    <xf numFmtId="0" fontId="56" fillId="0" borderId="14" xfId="0" applyFont="1" applyBorder="1" applyAlignment="1">
      <alignment horizontal="center" vertical="center"/>
    </xf>
    <xf numFmtId="14" fontId="56" fillId="0" borderId="14" xfId="0" applyNumberFormat="1" applyFont="1" applyBorder="1" applyAlignment="1">
      <alignment horizontal="center" vertical="center"/>
    </xf>
    <xf numFmtId="1" fontId="56" fillId="0" borderId="14" xfId="0" applyNumberFormat="1" applyFont="1" applyBorder="1" applyAlignment="1">
      <alignment horizontal="center" vertical="center"/>
    </xf>
    <xf numFmtId="1" fontId="34" fillId="28" borderId="22" xfId="0" applyNumberFormat="1" applyFont="1" applyFill="1" applyBorder="1" applyAlignment="1">
      <alignment horizontal="center" readingOrder="2"/>
    </xf>
    <xf numFmtId="1" fontId="34" fillId="28" borderId="25" xfId="0" applyNumberFormat="1" applyFont="1" applyFill="1" applyBorder="1" applyAlignment="1">
      <alignment horizontal="center" readingOrder="2"/>
    </xf>
    <xf numFmtId="1" fontId="34" fillId="28" borderId="26" xfId="0" applyNumberFormat="1" applyFont="1" applyFill="1" applyBorder="1" applyAlignment="1">
      <alignment horizontal="center" readingOrder="2"/>
    </xf>
    <xf numFmtId="0" fontId="48" fillId="0" borderId="0" xfId="0" applyFont="1" applyBorder="1" applyAlignment="1">
      <alignment horizontal="center" vertical="top"/>
    </xf>
    <xf numFmtId="0" fontId="64" fillId="0" borderId="0" xfId="0" applyFont="1" applyAlignment="1">
      <alignment horizontal="center"/>
    </xf>
    <xf numFmtId="1" fontId="32" fillId="0" borderId="20" xfId="0" applyNumberFormat="1" applyFont="1" applyBorder="1" applyAlignment="1">
      <alignment horizontal="center" readingOrder="2"/>
    </xf>
    <xf numFmtId="1" fontId="32" fillId="0" borderId="21" xfId="0" applyNumberFormat="1" applyFont="1" applyBorder="1" applyAlignment="1">
      <alignment horizontal="center" readingOrder="2"/>
    </xf>
    <xf numFmtId="1" fontId="32" fillId="0" borderId="23" xfId="0" applyNumberFormat="1" applyFont="1" applyBorder="1" applyAlignment="1">
      <alignment horizontal="center" readingOrder="2"/>
    </xf>
    <xf numFmtId="1" fontId="32" fillId="0" borderId="19" xfId="0" applyNumberFormat="1" applyFont="1" applyBorder="1" applyAlignment="1">
      <alignment horizontal="center"/>
    </xf>
    <xf numFmtId="1" fontId="32" fillId="0" borderId="25" xfId="0" applyNumberFormat="1" applyFont="1" applyBorder="1" applyAlignment="1">
      <alignment horizontal="center"/>
    </xf>
    <xf numFmtId="1" fontId="32" fillId="0" borderId="26" xfId="0" applyNumberFormat="1" applyFont="1" applyBorder="1" applyAlignment="1">
      <alignment horizontal="center"/>
    </xf>
    <xf numFmtId="1" fontId="34" fillId="0" borderId="28" xfId="0" applyNumberFormat="1" applyFont="1" applyBorder="1" applyAlignment="1">
      <alignment horizontal="center" readingOrder="2"/>
    </xf>
    <xf numFmtId="1" fontId="34" fillId="0" borderId="17" xfId="0" applyNumberFormat="1" applyFont="1" applyBorder="1" applyAlignment="1">
      <alignment horizontal="center" readingOrder="2"/>
    </xf>
    <xf numFmtId="1" fontId="37" fillId="0" borderId="20" xfId="0" applyNumberFormat="1" applyFont="1" applyBorder="1" applyAlignment="1">
      <alignment horizontal="center" readingOrder="2"/>
    </xf>
    <xf numFmtId="0" fontId="37" fillId="0" borderId="21" xfId="0" applyFont="1" applyBorder="1" applyAlignment="1">
      <alignment horizontal="center" readingOrder="2"/>
    </xf>
    <xf numFmtId="1" fontId="56" fillId="0" borderId="15" xfId="0" applyNumberFormat="1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 readingOrder="2"/>
    </xf>
    <xf numFmtId="1" fontId="32" fillId="0" borderId="27" xfId="0" applyNumberFormat="1" applyFont="1" applyBorder="1" applyAlignment="1">
      <alignment horizontal="center" vertical="center" readingOrder="2"/>
    </xf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54" fillId="28" borderId="0" xfId="0" applyFont="1" applyFill="1" applyAlignment="1">
      <alignment horizontal="center" vertical="center"/>
    </xf>
    <xf numFmtId="1" fontId="32" fillId="0" borderId="20" xfId="0" applyNumberFormat="1" applyFont="1" applyBorder="1" applyAlignment="1">
      <alignment horizontal="center" vertical="center" readingOrder="2"/>
    </xf>
    <xf numFmtId="1" fontId="32" fillId="0" borderId="21" xfId="0" applyNumberFormat="1" applyFont="1" applyBorder="1" applyAlignment="1">
      <alignment horizontal="center" vertical="center" readingOrder="2"/>
    </xf>
    <xf numFmtId="1" fontId="32" fillId="0" borderId="23" xfId="0" applyNumberFormat="1" applyFont="1" applyBorder="1" applyAlignment="1">
      <alignment horizontal="center" vertical="center" readingOrder="2"/>
    </xf>
    <xf numFmtId="0" fontId="55" fillId="0" borderId="0" xfId="0" applyFont="1" applyAlignment="1">
      <alignment horizontal="center" vertical="center"/>
    </xf>
    <xf numFmtId="1" fontId="34" fillId="28" borderId="19" xfId="0" applyNumberFormat="1" applyFont="1" applyFill="1" applyBorder="1" applyAlignment="1">
      <alignment horizontal="center" readingOrder="2"/>
    </xf>
    <xf numFmtId="0" fontId="34" fillId="28" borderId="25" xfId="0" applyFont="1" applyFill="1" applyBorder="1" applyAlignment="1">
      <alignment horizontal="center" readingOrder="2"/>
    </xf>
    <xf numFmtId="0" fontId="34" fillId="28" borderId="26" xfId="0" applyFont="1" applyFill="1" applyBorder="1" applyAlignment="1">
      <alignment horizontal="center" readingOrder="2"/>
    </xf>
    <xf numFmtId="1" fontId="30" fillId="0" borderId="24" xfId="0" applyNumberFormat="1" applyFont="1" applyBorder="1" applyAlignment="1">
      <alignment horizontal="center" readingOrder="2"/>
    </xf>
    <xf numFmtId="1" fontId="30" fillId="0" borderId="0" xfId="0" applyNumberFormat="1" applyFont="1" applyBorder="1" applyAlignment="1">
      <alignment horizontal="center" readingOrder="2"/>
    </xf>
    <xf numFmtId="1" fontId="34" fillId="0" borderId="0" xfId="0" applyNumberFormat="1" applyFont="1" applyBorder="1" applyAlignment="1">
      <alignment horizontal="center" readingOrder="2"/>
    </xf>
    <xf numFmtId="0" fontId="34" fillId="0" borderId="0" xfId="0" applyFont="1" applyBorder="1" applyAlignment="1">
      <alignment horizontal="center" readingOrder="2"/>
    </xf>
    <xf numFmtId="0" fontId="38" fillId="0" borderId="38" xfId="0" applyFont="1" applyBorder="1" applyAlignment="1">
      <alignment horizontal="center" vertical="center" readingOrder="2"/>
    </xf>
    <xf numFmtId="0" fontId="62" fillId="0" borderId="15" xfId="0" applyNumberFormat="1" applyFont="1" applyBorder="1" applyAlignment="1">
      <alignment horizontal="center" vertical="center"/>
    </xf>
    <xf numFmtId="0" fontId="62" fillId="0" borderId="36" xfId="0" applyNumberFormat="1" applyFont="1" applyBorder="1" applyAlignment="1">
      <alignment horizontal="center" vertical="center"/>
    </xf>
    <xf numFmtId="0" fontId="62" fillId="0" borderId="37" xfId="0" applyNumberFormat="1" applyFont="1" applyBorder="1" applyAlignment="1">
      <alignment horizontal="center" vertical="center"/>
    </xf>
    <xf numFmtId="165" fontId="62" fillId="0" borderId="15" xfId="0" applyNumberFormat="1" applyFont="1" applyBorder="1" applyAlignment="1">
      <alignment horizontal="center" vertical="center"/>
    </xf>
    <xf numFmtId="165" fontId="62" fillId="0" borderId="36" xfId="0" applyNumberFormat="1" applyFont="1" applyBorder="1" applyAlignment="1">
      <alignment horizontal="center" vertical="center"/>
    </xf>
    <xf numFmtId="165" fontId="62" fillId="0" borderId="37" xfId="0" applyNumberFormat="1" applyFont="1" applyBorder="1" applyAlignment="1">
      <alignment horizontal="center" vertical="center"/>
    </xf>
    <xf numFmtId="14" fontId="7" fillId="0" borderId="0" xfId="0" applyNumberFormat="1" applyFont="1" applyAlignment="1">
      <alignment horizontal="center" readingOrder="2"/>
    </xf>
    <xf numFmtId="0" fontId="56" fillId="0" borderId="15" xfId="0" applyFont="1" applyFill="1" applyBorder="1" applyAlignment="1">
      <alignment horizontal="center" vertical="center"/>
    </xf>
    <xf numFmtId="0" fontId="56" fillId="0" borderId="37" xfId="0" applyFont="1" applyFill="1" applyBorder="1" applyAlignment="1">
      <alignment horizontal="center" vertical="center"/>
    </xf>
    <xf numFmtId="0" fontId="62" fillId="28" borderId="14" xfId="0" applyFont="1" applyFill="1" applyBorder="1" applyAlignment="1">
      <alignment horizontal="center" vertical="center"/>
    </xf>
    <xf numFmtId="0" fontId="7" fillId="0" borderId="0" xfId="0" applyFont="1" applyAlignment="1">
      <alignment horizontal="right"/>
    </xf>
    <xf numFmtId="1" fontId="34" fillId="28" borderId="14" xfId="0" applyNumberFormat="1" applyFont="1" applyFill="1" applyBorder="1" applyAlignment="1">
      <alignment horizontal="center" readingOrder="2"/>
    </xf>
    <xf numFmtId="14" fontId="34" fillId="0" borderId="14" xfId="0" applyNumberFormat="1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1" fontId="56" fillId="0" borderId="15" xfId="0" applyNumberFormat="1" applyFont="1" applyFill="1" applyBorder="1" applyAlignment="1">
      <alignment horizontal="center" vertical="center"/>
    </xf>
    <xf numFmtId="1" fontId="56" fillId="0" borderId="36" xfId="0" applyNumberFormat="1" applyFont="1" applyFill="1" applyBorder="1" applyAlignment="1">
      <alignment horizontal="center" vertical="center"/>
    </xf>
    <xf numFmtId="1" fontId="56" fillId="0" borderId="37" xfId="0" applyNumberFormat="1" applyFont="1" applyFill="1" applyBorder="1" applyAlignment="1">
      <alignment horizontal="center" vertical="center"/>
    </xf>
  </cellXfs>
  <cellStyles count="88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20% - تمييز1" xfId="8" xr:uid="{00000000-0005-0000-0000-000006000000}"/>
    <cellStyle name="20% - تمييز2" xfId="9" xr:uid="{00000000-0005-0000-0000-000007000000}"/>
    <cellStyle name="20% - تمييز3" xfId="10" xr:uid="{00000000-0005-0000-0000-000008000000}"/>
    <cellStyle name="20% - تمييز4" xfId="11" xr:uid="{00000000-0005-0000-0000-000009000000}"/>
    <cellStyle name="20% - تمييز5" xfId="12" xr:uid="{00000000-0005-0000-0000-00000A000000}"/>
    <cellStyle name="20% - تمييز6" xfId="13" xr:uid="{00000000-0005-0000-0000-00000B000000}"/>
    <cellStyle name="40% - Accent1 2" xfId="14" xr:uid="{00000000-0005-0000-0000-00000C000000}"/>
    <cellStyle name="40% - Accent2 2" xfId="15" xr:uid="{00000000-0005-0000-0000-00000D000000}"/>
    <cellStyle name="40% - Accent3 2" xfId="16" xr:uid="{00000000-0005-0000-0000-00000E000000}"/>
    <cellStyle name="40% - Accent4 2" xfId="17" xr:uid="{00000000-0005-0000-0000-00000F000000}"/>
    <cellStyle name="40% - Accent5 2" xfId="18" xr:uid="{00000000-0005-0000-0000-000010000000}"/>
    <cellStyle name="40% - Accent6 2" xfId="19" xr:uid="{00000000-0005-0000-0000-000011000000}"/>
    <cellStyle name="40% - تمييز1" xfId="20" xr:uid="{00000000-0005-0000-0000-000012000000}"/>
    <cellStyle name="40% - تمييز2" xfId="21" xr:uid="{00000000-0005-0000-0000-000013000000}"/>
    <cellStyle name="40% - تمييز3" xfId="22" xr:uid="{00000000-0005-0000-0000-000014000000}"/>
    <cellStyle name="40% - تمييز4" xfId="23" xr:uid="{00000000-0005-0000-0000-000015000000}"/>
    <cellStyle name="40% - تمييز5" xfId="24" xr:uid="{00000000-0005-0000-0000-000016000000}"/>
    <cellStyle name="40% - تمييز6" xfId="25" xr:uid="{00000000-0005-0000-0000-000017000000}"/>
    <cellStyle name="60% - Accent1 2" xfId="26" xr:uid="{00000000-0005-0000-0000-000018000000}"/>
    <cellStyle name="60% - Accent2 2" xfId="27" xr:uid="{00000000-0005-0000-0000-000019000000}"/>
    <cellStyle name="60% - Accent3 2" xfId="28" xr:uid="{00000000-0005-0000-0000-00001A000000}"/>
    <cellStyle name="60% - Accent4 2" xfId="29" xr:uid="{00000000-0005-0000-0000-00001B000000}"/>
    <cellStyle name="60% - Accent5 2" xfId="30" xr:uid="{00000000-0005-0000-0000-00001C000000}"/>
    <cellStyle name="60% - Accent6 2" xfId="31" xr:uid="{00000000-0005-0000-0000-00001D000000}"/>
    <cellStyle name="60% - تمييز1" xfId="32" xr:uid="{00000000-0005-0000-0000-00001E000000}"/>
    <cellStyle name="60% - تمييز2" xfId="33" xr:uid="{00000000-0005-0000-0000-00001F000000}"/>
    <cellStyle name="60% - تمييز3" xfId="34" xr:uid="{00000000-0005-0000-0000-000020000000}"/>
    <cellStyle name="60% - تمييز4" xfId="35" xr:uid="{00000000-0005-0000-0000-000021000000}"/>
    <cellStyle name="60% - تمييز5" xfId="36" xr:uid="{00000000-0005-0000-0000-000022000000}"/>
    <cellStyle name="60% - تمييز6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Bad 2" xfId="44" xr:uid="{00000000-0005-0000-0000-00002A000000}"/>
    <cellStyle name="Calculation 2" xfId="45" xr:uid="{00000000-0005-0000-0000-00002B000000}"/>
    <cellStyle name="Check Cell 2" xfId="46" xr:uid="{00000000-0005-0000-0000-00002C000000}"/>
    <cellStyle name="Explanatory Text 2" xfId="47" xr:uid="{00000000-0005-0000-0000-00002D000000}"/>
    <cellStyle name="Good 2" xfId="48" xr:uid="{00000000-0005-0000-0000-00002E000000}"/>
    <cellStyle name="Heading 1 2" xfId="49" xr:uid="{00000000-0005-0000-0000-00002F000000}"/>
    <cellStyle name="Heading 2 2" xfId="50" xr:uid="{00000000-0005-0000-0000-000030000000}"/>
    <cellStyle name="Heading 3 2" xfId="51" xr:uid="{00000000-0005-0000-0000-000031000000}"/>
    <cellStyle name="Heading 4 2" xfId="52" xr:uid="{00000000-0005-0000-0000-000032000000}"/>
    <cellStyle name="Input 2" xfId="53" xr:uid="{00000000-0005-0000-0000-000033000000}"/>
    <cellStyle name="Linked Cell 2" xfId="54" xr:uid="{00000000-0005-0000-0000-000034000000}"/>
    <cellStyle name="Neutral 2" xfId="55" xr:uid="{00000000-0005-0000-0000-000035000000}"/>
    <cellStyle name="Normal 2" xfId="56" xr:uid="{00000000-0005-0000-0000-000037000000}"/>
    <cellStyle name="Normal 2 3 2" xfId="57" xr:uid="{00000000-0005-0000-0000-000038000000}"/>
    <cellStyle name="Normal 3" xfId="58" xr:uid="{00000000-0005-0000-0000-000039000000}"/>
    <cellStyle name="Normal 4" xfId="59" xr:uid="{00000000-0005-0000-0000-00003A000000}"/>
    <cellStyle name="Normal_Sheet1" xfId="1" xr:uid="{00000000-0005-0000-0000-00003B000000}"/>
    <cellStyle name="Note 2" xfId="60" xr:uid="{00000000-0005-0000-0000-00003C000000}"/>
    <cellStyle name="Output 2" xfId="61" xr:uid="{00000000-0005-0000-0000-00003D000000}"/>
    <cellStyle name="Title 2" xfId="62" xr:uid="{00000000-0005-0000-0000-00003E000000}"/>
    <cellStyle name="Total 2" xfId="63" xr:uid="{00000000-0005-0000-0000-00003F000000}"/>
    <cellStyle name="Warning Text 2" xfId="64" xr:uid="{00000000-0005-0000-0000-000040000000}"/>
    <cellStyle name="إخراج" xfId="65" xr:uid="{00000000-0005-0000-0000-000041000000}"/>
    <cellStyle name="إدخال" xfId="66" xr:uid="{00000000-0005-0000-0000-000042000000}"/>
    <cellStyle name="الإجمالي" xfId="67" xr:uid="{00000000-0005-0000-0000-000043000000}"/>
    <cellStyle name="تمييز1" xfId="68" xr:uid="{00000000-0005-0000-0000-000044000000}"/>
    <cellStyle name="تمييز2" xfId="69" xr:uid="{00000000-0005-0000-0000-000045000000}"/>
    <cellStyle name="تمييز3" xfId="70" xr:uid="{00000000-0005-0000-0000-000046000000}"/>
    <cellStyle name="تمييز4" xfId="71" xr:uid="{00000000-0005-0000-0000-000047000000}"/>
    <cellStyle name="تمييز5" xfId="72" xr:uid="{00000000-0005-0000-0000-000048000000}"/>
    <cellStyle name="تمييز6" xfId="73" xr:uid="{00000000-0005-0000-0000-000049000000}"/>
    <cellStyle name="جيد" xfId="74" xr:uid="{00000000-0005-0000-0000-00004A000000}"/>
    <cellStyle name="حساب" xfId="75" xr:uid="{00000000-0005-0000-0000-00004B000000}"/>
    <cellStyle name="خلية تدقيق" xfId="76" xr:uid="{00000000-0005-0000-0000-00004C000000}"/>
    <cellStyle name="خلية مرتبطة" xfId="77" xr:uid="{00000000-0005-0000-0000-00004D000000}"/>
    <cellStyle name="سيئ" xfId="78" xr:uid="{00000000-0005-0000-0000-00004E000000}"/>
    <cellStyle name="عادي" xfId="0" builtinId="0"/>
    <cellStyle name="عنوان" xfId="79" xr:uid="{00000000-0005-0000-0000-00004F000000}"/>
    <cellStyle name="عنوان 1" xfId="80" xr:uid="{00000000-0005-0000-0000-000050000000}"/>
    <cellStyle name="عنوان 2" xfId="81" xr:uid="{00000000-0005-0000-0000-000051000000}"/>
    <cellStyle name="عنوان 3" xfId="82" xr:uid="{00000000-0005-0000-0000-000052000000}"/>
    <cellStyle name="عنوان 4" xfId="83" xr:uid="{00000000-0005-0000-0000-000053000000}"/>
    <cellStyle name="محايد" xfId="84" xr:uid="{00000000-0005-0000-0000-000054000000}"/>
    <cellStyle name="ملاحظة" xfId="85" xr:uid="{00000000-0005-0000-0000-000055000000}"/>
    <cellStyle name="نص تحذير" xfId="86" xr:uid="{00000000-0005-0000-0000-000056000000}"/>
    <cellStyle name="نص توضيحي" xfId="87" xr:uid="{00000000-0005-0000-0000-00005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externalLink" Target="externalLinks/externalLink3.xml" /><Relationship Id="rId2" Type="http://schemas.openxmlformats.org/officeDocument/2006/relationships/worksheet" Target="worksheets/sheet2.xml" /><Relationship Id="rId16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externalLink" Target="externalLinks/externalLink2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externalLink" Target="externalLinks/externalLink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 /><Relationship Id="rId3" Type="http://schemas.openxmlformats.org/officeDocument/2006/relationships/hyperlink" Target="#'&#1605;&#1583;&#1577; &#1575;&#1590;&#1575;&#1601;&#1610;&#1577; '!Print_Area" /><Relationship Id="rId7" Type="http://schemas.openxmlformats.org/officeDocument/2006/relationships/hyperlink" Target="#'4'!A1" /><Relationship Id="rId2" Type="http://schemas.openxmlformats.org/officeDocument/2006/relationships/hyperlink" Target="#'&#1608;&#1585;&#1602;&#1577;1 (2)'!A1" /><Relationship Id="rId1" Type="http://schemas.openxmlformats.org/officeDocument/2006/relationships/hyperlink" Target="#&#1608;&#1585;&#1602;&#1577;1!A1" /><Relationship Id="rId6" Type="http://schemas.openxmlformats.org/officeDocument/2006/relationships/hyperlink" Target="#'3'!A1" /><Relationship Id="rId5" Type="http://schemas.openxmlformats.org/officeDocument/2006/relationships/hyperlink" Target="#'2'!A1" /><Relationship Id="rId4" Type="http://schemas.openxmlformats.org/officeDocument/2006/relationships/hyperlink" Target="#'1'!A1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hyperlink" Target="#'&#1581;&#1587;&#1575;&#1576; &#1591;&#1604;&#1608;&#1593; &#1575;&#1604;&#1602;&#1586;&#1602;'!A1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hyperlink" Target="#'&#1581;&#1587;&#1575;&#1576; &#1591;&#1604;&#1608;&#1593; &#1575;&#1604;&#1602;&#1586;&#1602;'!A1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hyperlink" Target="#'&#1581;&#1587;&#1575;&#1576; &#1591;&#1604;&#1608;&#1593; &#1575;&#1604;&#1602;&#1586;&#1602;'!A1" 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hyperlink" Target="#'&#1581;&#1587;&#1575;&#1576; &#1591;&#1604;&#1608;&#1593; &#1575;&#1604;&#1602;&#1586;&#1602;'!A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85</xdr:col>
      <xdr:colOff>162524</xdr:colOff>
      <xdr:row>10</xdr:row>
      <xdr:rowOff>237675</xdr:rowOff>
    </xdr:from>
    <xdr:to>
      <xdr:col>91</xdr:col>
      <xdr:colOff>95091</xdr:colOff>
      <xdr:row>20</xdr:row>
      <xdr:rowOff>207740</xdr:rowOff>
    </xdr:to>
    <xdr:sp macro="" textlink="">
      <xdr:nvSpPr>
        <xdr:cNvPr id="3" name="مستطيل 2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9933946509" y="3171375"/>
          <a:ext cx="3590167" cy="303711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EG" sz="1100"/>
        </a:p>
      </xdr:txBody>
    </xdr:sp>
    <xdr:clientData/>
  </xdr:twoCellAnchor>
  <xdr:twoCellAnchor>
    <xdr:from>
      <xdr:col>6</xdr:col>
      <xdr:colOff>148168</xdr:colOff>
      <xdr:row>15</xdr:row>
      <xdr:rowOff>105833</xdr:rowOff>
    </xdr:from>
    <xdr:to>
      <xdr:col>6</xdr:col>
      <xdr:colOff>1322918</xdr:colOff>
      <xdr:row>17</xdr:row>
      <xdr:rowOff>42333</xdr:rowOff>
    </xdr:to>
    <xdr:sp macro="" textlink="">
      <xdr:nvSpPr>
        <xdr:cNvPr id="2" name="مستطيل مستدير الزوايا 1" hidden="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0057320499" y="4265083"/>
          <a:ext cx="1174750" cy="4445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1600" b="1"/>
            <a:t>طلوع</a:t>
          </a:r>
          <a:r>
            <a:rPr lang="ar-SA" sz="1600" b="1" baseline="0"/>
            <a:t> عادي </a:t>
          </a:r>
          <a:endParaRPr lang="ar-EG" sz="1600" b="1"/>
        </a:p>
      </xdr:txBody>
    </xdr:sp>
    <xdr:clientData/>
  </xdr:twoCellAnchor>
  <xdr:twoCellAnchor>
    <xdr:from>
      <xdr:col>8</xdr:col>
      <xdr:colOff>328083</xdr:colOff>
      <xdr:row>15</xdr:row>
      <xdr:rowOff>116416</xdr:rowOff>
    </xdr:from>
    <xdr:to>
      <xdr:col>8</xdr:col>
      <xdr:colOff>1523999</xdr:colOff>
      <xdr:row>17</xdr:row>
      <xdr:rowOff>10583</xdr:rowOff>
    </xdr:to>
    <xdr:sp macro="" textlink="">
      <xdr:nvSpPr>
        <xdr:cNvPr id="4" name="مستطيل مستدير الزوايا 3" hidden="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0055606001" y="4275666"/>
          <a:ext cx="1195916" cy="402167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1400" b="1">
              <a:solidFill>
                <a:schemeClr val="bg1"/>
              </a:solidFill>
            </a:rPr>
            <a:t>طلوع طوارىء</a:t>
          </a:r>
          <a:endParaRPr lang="ar-EG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114300</xdr:colOff>
      <xdr:row>13</xdr:row>
      <xdr:rowOff>190500</xdr:rowOff>
    </xdr:from>
    <xdr:to>
      <xdr:col>14</xdr:col>
      <xdr:colOff>123825</xdr:colOff>
      <xdr:row>14</xdr:row>
      <xdr:rowOff>123825</xdr:rowOff>
    </xdr:to>
    <xdr:sp macro="" textlink="">
      <xdr:nvSpPr>
        <xdr:cNvPr id="5" name="مستطيل مستدير الزوايا 4" hidden="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9980885550" y="3933825"/>
          <a:ext cx="1095375" cy="3429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2000">
              <a:solidFill>
                <a:srgbClr val="FF0000"/>
              </a:solidFill>
            </a:rPr>
            <a:t>طباعة</a:t>
          </a:r>
          <a:r>
            <a:rPr lang="ar-SA" sz="1100" baseline="0"/>
            <a:t> </a:t>
          </a:r>
          <a:endParaRPr lang="ar-EG" sz="1100"/>
        </a:p>
      </xdr:txBody>
    </xdr:sp>
    <xdr:clientData/>
  </xdr:twoCellAnchor>
  <xdr:twoCellAnchor>
    <xdr:from>
      <xdr:col>9</xdr:col>
      <xdr:colOff>190500</xdr:colOff>
      <xdr:row>3</xdr:row>
      <xdr:rowOff>190500</xdr:rowOff>
    </xdr:from>
    <xdr:to>
      <xdr:col>15</xdr:col>
      <xdr:colOff>114300</xdr:colOff>
      <xdr:row>16</xdr:row>
      <xdr:rowOff>19050</xdr:rowOff>
    </xdr:to>
    <xdr:sp macro="" textlink="">
      <xdr:nvSpPr>
        <xdr:cNvPr id="6" name="مستطيل 5" hidden="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9979647300" y="1123950"/>
          <a:ext cx="5553075" cy="340995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EG" sz="1100"/>
        </a:p>
      </xdr:txBody>
    </xdr:sp>
    <xdr:clientData/>
  </xdr:twoCellAnchor>
  <xdr:twoCellAnchor>
    <xdr:from>
      <xdr:col>9</xdr:col>
      <xdr:colOff>466725</xdr:colOff>
      <xdr:row>3</xdr:row>
      <xdr:rowOff>457200</xdr:rowOff>
    </xdr:from>
    <xdr:to>
      <xdr:col>15</xdr:col>
      <xdr:colOff>295275</xdr:colOff>
      <xdr:row>15</xdr:row>
      <xdr:rowOff>323850</xdr:rowOff>
    </xdr:to>
    <xdr:sp macro="" textlink="">
      <xdr:nvSpPr>
        <xdr:cNvPr id="7" name="مستطيل 6" hidden="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9979466325" y="1704975"/>
          <a:ext cx="5457825" cy="336232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EG" sz="1100"/>
        </a:p>
      </xdr:txBody>
    </xdr:sp>
    <xdr:clientData/>
  </xdr:twoCellAnchor>
  <xdr:twoCellAnchor>
    <xdr:from>
      <xdr:col>14</xdr:col>
      <xdr:colOff>114300</xdr:colOff>
      <xdr:row>13</xdr:row>
      <xdr:rowOff>190500</xdr:rowOff>
    </xdr:from>
    <xdr:to>
      <xdr:col>15</xdr:col>
      <xdr:colOff>123825</xdr:colOff>
      <xdr:row>14</xdr:row>
      <xdr:rowOff>123825</xdr:rowOff>
    </xdr:to>
    <xdr:sp macro="" textlink="">
      <xdr:nvSpPr>
        <xdr:cNvPr id="8" name="مستطيل مستدير الزوايا 7" hidden="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9980656950" y="4086225"/>
          <a:ext cx="1095375" cy="3333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2000">
              <a:solidFill>
                <a:srgbClr val="FF0000"/>
              </a:solidFill>
            </a:rPr>
            <a:t>طباعة</a:t>
          </a:r>
          <a:r>
            <a:rPr lang="ar-SA" sz="1100" baseline="0"/>
            <a:t> </a:t>
          </a:r>
          <a:endParaRPr lang="ar-EG" sz="1100"/>
        </a:p>
      </xdr:txBody>
    </xdr:sp>
    <xdr:clientData/>
  </xdr:twoCellAnchor>
  <xdr:twoCellAnchor>
    <xdr:from>
      <xdr:col>4</xdr:col>
      <xdr:colOff>180975</xdr:colOff>
      <xdr:row>5</xdr:row>
      <xdr:rowOff>209550</xdr:rowOff>
    </xdr:from>
    <xdr:to>
      <xdr:col>4</xdr:col>
      <xdr:colOff>1514475</xdr:colOff>
      <xdr:row>6</xdr:row>
      <xdr:rowOff>38100</xdr:rowOff>
    </xdr:to>
    <xdr:sp macro="" textlink="">
      <xdr:nvSpPr>
        <xdr:cNvPr id="9" name="مستطيل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9987514950" y="1504950"/>
          <a:ext cx="1333500" cy="352425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SA" sz="1600" b="1"/>
            <a:t>عادي</a:t>
          </a:r>
          <a:endParaRPr lang="ar-EG" sz="1600" b="1"/>
        </a:p>
      </xdr:txBody>
    </xdr:sp>
    <xdr:clientData/>
  </xdr:twoCellAnchor>
  <xdr:twoCellAnchor>
    <xdr:from>
      <xdr:col>6</xdr:col>
      <xdr:colOff>219075</xdr:colOff>
      <xdr:row>5</xdr:row>
      <xdr:rowOff>219075</xdr:rowOff>
    </xdr:from>
    <xdr:to>
      <xdr:col>6</xdr:col>
      <xdr:colOff>1552575</xdr:colOff>
      <xdr:row>6</xdr:row>
      <xdr:rowOff>47625</xdr:rowOff>
    </xdr:to>
    <xdr:sp macro="" textlink="">
      <xdr:nvSpPr>
        <xdr:cNvPr id="16" name="مستطيل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9985476600" y="1514475"/>
          <a:ext cx="1333500" cy="352425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SA" sz="1400" b="1"/>
            <a:t>طواريء</a:t>
          </a:r>
          <a:endParaRPr lang="ar-EG" sz="1400" b="1"/>
        </a:p>
      </xdr:txBody>
    </xdr:sp>
    <xdr:clientData/>
  </xdr:twoCellAnchor>
  <xdr:twoCellAnchor>
    <xdr:from>
      <xdr:col>8</xdr:col>
      <xdr:colOff>180975</xdr:colOff>
      <xdr:row>5</xdr:row>
      <xdr:rowOff>209550</xdr:rowOff>
    </xdr:from>
    <xdr:to>
      <xdr:col>8</xdr:col>
      <xdr:colOff>1514475</xdr:colOff>
      <xdr:row>6</xdr:row>
      <xdr:rowOff>38100</xdr:rowOff>
    </xdr:to>
    <xdr:sp macro="" textlink="">
      <xdr:nvSpPr>
        <xdr:cNvPr id="18" name="مستطيل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9983476350" y="1504950"/>
          <a:ext cx="1333500" cy="352425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SA" sz="1400" b="1"/>
            <a:t>انشاء</a:t>
          </a:r>
          <a:endParaRPr lang="ar-EG" sz="1400" b="1"/>
        </a:p>
      </xdr:txBody>
    </xdr:sp>
    <xdr:clientData/>
  </xdr:twoCellAnchor>
  <xdr:twoCellAnchor>
    <xdr:from>
      <xdr:col>10</xdr:col>
      <xdr:colOff>142875</xdr:colOff>
      <xdr:row>5</xdr:row>
      <xdr:rowOff>180975</xdr:rowOff>
    </xdr:from>
    <xdr:to>
      <xdr:col>10</xdr:col>
      <xdr:colOff>1476375</xdr:colOff>
      <xdr:row>6</xdr:row>
      <xdr:rowOff>9525</xdr:rowOff>
    </xdr:to>
    <xdr:sp macro="" textlink="">
      <xdr:nvSpPr>
        <xdr:cNvPr id="20" name="مستطيل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9981485625" y="1476375"/>
          <a:ext cx="1333500" cy="352425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SA" sz="1400" b="1"/>
            <a:t>انتظار</a:t>
          </a:r>
          <a:endParaRPr lang="ar-EG" sz="1400" b="1"/>
        </a:p>
      </xdr:txBody>
    </xdr:sp>
    <xdr:clientData/>
  </xdr:twoCellAnchor>
  <xdr:twoCellAnchor editAs="oneCell">
    <xdr:from>
      <xdr:col>2</xdr:col>
      <xdr:colOff>186686</xdr:colOff>
      <xdr:row>5</xdr:row>
      <xdr:rowOff>180974</xdr:rowOff>
    </xdr:from>
    <xdr:to>
      <xdr:col>2</xdr:col>
      <xdr:colOff>1009646</xdr:colOff>
      <xdr:row>6</xdr:row>
      <xdr:rowOff>105990</xdr:rowOff>
    </xdr:to>
    <xdr:pic>
      <xdr:nvPicPr>
        <xdr:cNvPr id="10" name="صورة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9496154" y="1476374"/>
          <a:ext cx="822960" cy="4488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400049</xdr:colOff>
      <xdr:row>1</xdr:row>
      <xdr:rowOff>323851</xdr:rowOff>
    </xdr:from>
    <xdr:to>
      <xdr:col>5</xdr:col>
      <xdr:colOff>447675</xdr:colOff>
      <xdr:row>2</xdr:row>
      <xdr:rowOff>419101</xdr:rowOff>
    </xdr:to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9981752325" y="485776"/>
          <a:ext cx="2352676" cy="838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400" b="1"/>
            <a:t>جهاز</a:t>
          </a:r>
          <a:r>
            <a:rPr lang="ar-SA" sz="1400" b="1" baseline="0"/>
            <a:t> مستقبل مصر للتنمية المستدامة</a:t>
          </a:r>
        </a:p>
        <a:p>
          <a:pPr algn="ctr" rtl="1"/>
          <a:r>
            <a:rPr lang="ar-SA" sz="1400" b="1" baseline="0"/>
            <a:t>قطاع جزر البحر الاحمر</a:t>
          </a:r>
          <a:endParaRPr lang="ar-SA" sz="1400" b="1"/>
        </a:p>
        <a:p>
          <a:pPr algn="ctr" rtl="1"/>
          <a:r>
            <a:rPr lang="ar-SA" sz="1200" b="1"/>
            <a:t>مركز صيانة وانشاء اللنشات (القزق </a:t>
          </a:r>
          <a:r>
            <a:rPr lang="ar-SA" sz="1050" b="1"/>
            <a:t>)</a:t>
          </a:r>
          <a:endParaRPr lang="ar-EG" sz="1050" b="1"/>
        </a:p>
      </xdr:txBody>
    </xdr:sp>
    <xdr:clientData/>
  </xdr:twoCellAnchor>
  <xdr:twoCellAnchor>
    <xdr:from>
      <xdr:col>1</xdr:col>
      <xdr:colOff>200024</xdr:colOff>
      <xdr:row>2</xdr:row>
      <xdr:rowOff>571500</xdr:rowOff>
    </xdr:from>
    <xdr:to>
      <xdr:col>11</xdr:col>
      <xdr:colOff>409575</xdr:colOff>
      <xdr:row>3</xdr:row>
      <xdr:rowOff>19050</xdr:rowOff>
    </xdr:to>
    <xdr:cxnSp macro="">
      <xdr:nvCxnSpPr>
        <xdr:cNvPr id="6" name="رابط مستقيم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 flipH="1">
          <a:off x="9977332725" y="1314450"/>
          <a:ext cx="6972301" cy="285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838200</xdr:colOff>
      <xdr:row>1</xdr:row>
      <xdr:rowOff>361950</xdr:rowOff>
    </xdr:from>
    <xdr:to>
      <xdr:col>10</xdr:col>
      <xdr:colOff>800100</xdr:colOff>
      <xdr:row>2</xdr:row>
      <xdr:rowOff>386080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751825" y="523875"/>
          <a:ext cx="1866900" cy="7670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133348</xdr:colOff>
      <xdr:row>16</xdr:row>
      <xdr:rowOff>304800</xdr:rowOff>
    </xdr:from>
    <xdr:to>
      <xdr:col>5</xdr:col>
      <xdr:colOff>200024</xdr:colOff>
      <xdr:row>19</xdr:row>
      <xdr:rowOff>76200</xdr:rowOff>
    </xdr:to>
    <xdr:sp macro="" textlink="">
      <xdr:nvSpPr>
        <xdr:cNvPr id="9" name="Rectangle 5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9981904726" y="6981825"/>
          <a:ext cx="1990726" cy="742950"/>
        </a:xfrm>
        <a:prstGeom prst="rect">
          <a:avLst/>
        </a:prstGeom>
        <a:solidFill>
          <a:sysClr val="window" lastClr="FFFFFF"/>
        </a:solidFill>
        <a:ln w="25400" cap="flat" cmpd="sng" algn="ctr">
          <a:noFill/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التوقيـــع /</a:t>
          </a:r>
          <a:r>
            <a:rPr lang="ar-EG" sz="9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.</a:t>
          </a:r>
          <a:endParaRPr lang="en-US" sz="12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SA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مـــالك</a:t>
          </a:r>
          <a:r>
            <a:rPr lang="ar-SA" sz="16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 العــــائمة</a:t>
          </a:r>
          <a:endParaRPr lang="en-US" sz="14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247650</xdr:colOff>
      <xdr:row>26</xdr:row>
      <xdr:rowOff>57149</xdr:rowOff>
    </xdr:from>
    <xdr:to>
      <xdr:col>11</xdr:col>
      <xdr:colOff>114300</xdr:colOff>
      <xdr:row>33</xdr:row>
      <xdr:rowOff>76199</xdr:rowOff>
    </xdr:to>
    <xdr:sp macro="" textlink="">
      <xdr:nvSpPr>
        <xdr:cNvPr id="10" name="مستطيل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9977389875" y="9001124"/>
          <a:ext cx="3648075" cy="115252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ar-EG" sz="2000">
              <a:solidFill>
                <a:sysClr val="windowText" lastClr="000000"/>
              </a:solidFill>
            </a:rPr>
            <a:t>    </a:t>
          </a:r>
          <a:r>
            <a:rPr lang="ar-SA" sz="1800" b="1">
              <a:solidFill>
                <a:sysClr val="windowText" lastClr="000000"/>
              </a:solidFill>
            </a:rPr>
            <a:t>التوقيع /</a:t>
          </a:r>
        </a:p>
        <a:p>
          <a:pPr algn="ctr" rtl="1"/>
          <a:r>
            <a:rPr lang="ar-EG" sz="1800" b="1">
              <a:solidFill>
                <a:sysClr val="windowText" lastClr="000000"/>
              </a:solidFill>
            </a:rPr>
            <a:t>    مـــــــــديرالقـــــــزق</a:t>
          </a:r>
        </a:p>
      </xdr:txBody>
    </xdr:sp>
    <xdr:clientData/>
  </xdr:twoCellAnchor>
  <xdr:twoCellAnchor>
    <xdr:from>
      <xdr:col>7</xdr:col>
      <xdr:colOff>190500</xdr:colOff>
      <xdr:row>17</xdr:row>
      <xdr:rowOff>85725</xdr:rowOff>
    </xdr:from>
    <xdr:to>
      <xdr:col>10</xdr:col>
      <xdr:colOff>19050</xdr:colOff>
      <xdr:row>19</xdr:row>
      <xdr:rowOff>180975</xdr:rowOff>
    </xdr:to>
    <xdr:sp macro="" textlink="">
      <xdr:nvSpPr>
        <xdr:cNvPr id="11" name="Rectangle 5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9978437625" y="7086600"/>
          <a:ext cx="1733550" cy="742950"/>
        </a:xfrm>
        <a:prstGeom prst="rect">
          <a:avLst/>
        </a:prstGeom>
        <a:solidFill>
          <a:sysClr val="window" lastClr="FFFFFF"/>
        </a:solidFill>
        <a:ln w="25400" cap="flat" cmpd="sng" algn="ctr">
          <a:noFill/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التوقيـــع /</a:t>
          </a:r>
          <a:r>
            <a:rPr lang="ar-EG" sz="9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.</a:t>
          </a:r>
          <a:endParaRPr lang="en-US" sz="12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القسم المــــــالي</a:t>
          </a:r>
          <a:endParaRPr lang="en-US" sz="14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</xdr:row>
      <xdr:rowOff>133350</xdr:rowOff>
    </xdr:from>
    <xdr:to>
      <xdr:col>3</xdr:col>
      <xdr:colOff>180975</xdr:colOff>
      <xdr:row>2</xdr:row>
      <xdr:rowOff>600075</xdr:rowOff>
    </xdr:to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9981723750" y="133350"/>
          <a:ext cx="2771775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600" b="1"/>
            <a:t>جهاز مستقبل مصر للتنمية المستدامة</a:t>
          </a:r>
        </a:p>
        <a:p>
          <a:pPr algn="ctr" rtl="1"/>
          <a:r>
            <a:rPr lang="ar-SA" sz="1600" b="1"/>
            <a:t>قطاع جزر البحرالاحمر</a:t>
          </a:r>
        </a:p>
        <a:p>
          <a:pPr algn="ctr" rtl="1"/>
          <a:r>
            <a:rPr lang="ar-SA" sz="1600" b="1"/>
            <a:t>مركز صيانة وانشاء اللنشات (القزق </a:t>
          </a:r>
          <a:r>
            <a:rPr lang="ar-SA" sz="1100" b="1"/>
            <a:t>)</a:t>
          </a:r>
          <a:endParaRPr lang="ar-EG" sz="1100" b="1"/>
        </a:p>
      </xdr:txBody>
    </xdr:sp>
    <xdr:clientData/>
  </xdr:twoCellAnchor>
  <xdr:twoCellAnchor>
    <xdr:from>
      <xdr:col>1</xdr:col>
      <xdr:colOff>38100</xdr:colOff>
      <xdr:row>2</xdr:row>
      <xdr:rowOff>647700</xdr:rowOff>
    </xdr:from>
    <xdr:to>
      <xdr:col>10</xdr:col>
      <xdr:colOff>266700</xdr:colOff>
      <xdr:row>3</xdr:row>
      <xdr:rowOff>9525</xdr:rowOff>
    </xdr:to>
    <xdr:cxnSp macro="">
      <xdr:nvCxnSpPr>
        <xdr:cNvPr id="5" name="رابط مستقيم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 flipH="1">
          <a:off x="9978104250" y="1171575"/>
          <a:ext cx="6391275" cy="19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133350</xdr:colOff>
      <xdr:row>1</xdr:row>
      <xdr:rowOff>133350</xdr:rowOff>
    </xdr:from>
    <xdr:to>
      <xdr:col>9</xdr:col>
      <xdr:colOff>952500</xdr:colOff>
      <xdr:row>2</xdr:row>
      <xdr:rowOff>376555</xdr:rowOff>
    </xdr:to>
    <xdr:pic>
      <xdr:nvPicPr>
        <xdr:cNvPr id="7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8694800" y="133350"/>
          <a:ext cx="1866900" cy="7670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9525</xdr:colOff>
      <xdr:row>15</xdr:row>
      <xdr:rowOff>152400</xdr:rowOff>
    </xdr:from>
    <xdr:to>
      <xdr:col>2</xdr:col>
      <xdr:colOff>2000251</xdr:colOff>
      <xdr:row>17</xdr:row>
      <xdr:rowOff>247650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9982276199" y="6248400"/>
          <a:ext cx="1990726" cy="742950"/>
        </a:xfrm>
        <a:prstGeom prst="rect">
          <a:avLst/>
        </a:prstGeom>
        <a:solidFill>
          <a:sysClr val="window" lastClr="FFFFFF"/>
        </a:solidFill>
        <a:ln w="25400" cap="flat" cmpd="sng" algn="ctr">
          <a:noFill/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التوقيـــع /</a:t>
          </a:r>
          <a:r>
            <a:rPr lang="ar-EG" sz="9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.</a:t>
          </a:r>
          <a:endParaRPr lang="en-US" sz="12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SA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مـــالك</a:t>
          </a:r>
          <a:r>
            <a:rPr lang="ar-SA" sz="16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 العــــائمة</a:t>
          </a:r>
          <a:endParaRPr lang="en-US" sz="14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114300</xdr:colOff>
      <xdr:row>15</xdr:row>
      <xdr:rowOff>238125</xdr:rowOff>
    </xdr:from>
    <xdr:to>
      <xdr:col>9</xdr:col>
      <xdr:colOff>628650</xdr:colOff>
      <xdr:row>18</xdr:row>
      <xdr:rowOff>9525</xdr:rowOff>
    </xdr:to>
    <xdr:sp macro="" textlink="">
      <xdr:nvSpPr>
        <xdr:cNvPr id="10" name="Rectangle 5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9979018650" y="6334125"/>
          <a:ext cx="1733550" cy="742950"/>
        </a:xfrm>
        <a:prstGeom prst="rect">
          <a:avLst/>
        </a:prstGeom>
        <a:solidFill>
          <a:sysClr val="window" lastClr="FFFFFF"/>
        </a:solidFill>
        <a:ln w="25400" cap="flat" cmpd="sng" algn="ctr">
          <a:noFill/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التوقيـــع /</a:t>
          </a:r>
          <a:r>
            <a:rPr lang="ar-EG" sz="9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.</a:t>
          </a:r>
          <a:endParaRPr lang="en-US" sz="12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القسم المــــــالي</a:t>
          </a:r>
          <a:endParaRPr lang="en-US" sz="14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47625</xdr:colOff>
      <xdr:row>18</xdr:row>
      <xdr:rowOff>276225</xdr:rowOff>
    </xdr:from>
    <xdr:to>
      <xdr:col>10</xdr:col>
      <xdr:colOff>161925</xdr:colOff>
      <xdr:row>25</xdr:row>
      <xdr:rowOff>133350</xdr:rowOff>
    </xdr:to>
    <xdr:sp macro="" textlink="">
      <xdr:nvSpPr>
        <xdr:cNvPr id="11" name="مستطيل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9978209025" y="7343775"/>
          <a:ext cx="3648075" cy="115252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ar-EG" sz="2000">
              <a:solidFill>
                <a:sysClr val="windowText" lastClr="000000"/>
              </a:solidFill>
            </a:rPr>
            <a:t>    </a:t>
          </a:r>
          <a:r>
            <a:rPr lang="ar-SA" sz="1800" b="1">
              <a:solidFill>
                <a:sysClr val="windowText" lastClr="000000"/>
              </a:solidFill>
            </a:rPr>
            <a:t>التوقيع /</a:t>
          </a:r>
        </a:p>
        <a:p>
          <a:pPr algn="ctr" rtl="1"/>
          <a:r>
            <a:rPr lang="ar-EG" sz="1800" b="1">
              <a:solidFill>
                <a:sysClr val="windowText" lastClr="000000"/>
              </a:solidFill>
            </a:rPr>
            <a:t>    مـــــــــدير القــــــــزق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400049</xdr:colOff>
      <xdr:row>1</xdr:row>
      <xdr:rowOff>323851</xdr:rowOff>
    </xdr:from>
    <xdr:to>
      <xdr:col>5</xdr:col>
      <xdr:colOff>447675</xdr:colOff>
      <xdr:row>2</xdr:row>
      <xdr:rowOff>419101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9981657075" y="485776"/>
          <a:ext cx="2371726" cy="838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400" b="1"/>
            <a:t>جهاز</a:t>
          </a:r>
          <a:r>
            <a:rPr lang="ar-SA" sz="1400" b="1" baseline="0"/>
            <a:t> مستقبل مصر للتنمية المستدامة</a:t>
          </a:r>
        </a:p>
        <a:p>
          <a:pPr algn="ctr" rtl="1"/>
          <a:r>
            <a:rPr lang="ar-SA" sz="1400" b="1" baseline="0"/>
            <a:t>قطاع جزر البحر الاحمر</a:t>
          </a:r>
          <a:endParaRPr lang="ar-SA" sz="1400" b="1"/>
        </a:p>
        <a:p>
          <a:pPr algn="ctr" rtl="1"/>
          <a:r>
            <a:rPr lang="ar-SA" sz="1200" b="1"/>
            <a:t>مركز صيانة وانشاء اللنشات (القزق </a:t>
          </a:r>
          <a:r>
            <a:rPr lang="ar-SA" sz="1050" b="1"/>
            <a:t>)</a:t>
          </a:r>
          <a:endParaRPr lang="ar-EG" sz="1050" b="1"/>
        </a:p>
      </xdr:txBody>
    </xdr:sp>
    <xdr:clientData/>
  </xdr:twoCellAnchor>
  <xdr:twoCellAnchor>
    <xdr:from>
      <xdr:col>1</xdr:col>
      <xdr:colOff>200024</xdr:colOff>
      <xdr:row>2</xdr:row>
      <xdr:rowOff>571500</xdr:rowOff>
    </xdr:from>
    <xdr:to>
      <xdr:col>11</xdr:col>
      <xdr:colOff>409575</xdr:colOff>
      <xdr:row>3</xdr:row>
      <xdr:rowOff>19050</xdr:rowOff>
    </xdr:to>
    <xdr:cxnSp macro="">
      <xdr:nvCxnSpPr>
        <xdr:cNvPr id="3" name="رابط مستقيم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 flipH="1">
          <a:off x="9977142225" y="1476375"/>
          <a:ext cx="7048501" cy="285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838200</xdr:colOff>
      <xdr:row>1</xdr:row>
      <xdr:rowOff>361950</xdr:rowOff>
    </xdr:from>
    <xdr:to>
      <xdr:col>10</xdr:col>
      <xdr:colOff>800100</xdr:colOff>
      <xdr:row>2</xdr:row>
      <xdr:rowOff>386080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656575" y="523875"/>
          <a:ext cx="1866900" cy="7670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133348</xdr:colOff>
      <xdr:row>16</xdr:row>
      <xdr:rowOff>304800</xdr:rowOff>
    </xdr:from>
    <xdr:to>
      <xdr:col>5</xdr:col>
      <xdr:colOff>200024</xdr:colOff>
      <xdr:row>19</xdr:row>
      <xdr:rowOff>76200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81904726" y="6981825"/>
          <a:ext cx="1990726" cy="742950"/>
        </a:xfrm>
        <a:prstGeom prst="rect">
          <a:avLst/>
        </a:prstGeom>
        <a:solidFill>
          <a:sysClr val="window" lastClr="FFFFFF"/>
        </a:solidFill>
        <a:ln w="25400" cap="flat" cmpd="sng" algn="ctr">
          <a:noFill/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التوقيـــع /</a:t>
          </a:r>
          <a:r>
            <a:rPr lang="ar-EG" sz="9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.</a:t>
          </a:r>
          <a:endParaRPr lang="en-US" sz="12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SA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مـــالك</a:t>
          </a:r>
          <a:r>
            <a:rPr lang="ar-SA" sz="16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 العــــائمة</a:t>
          </a:r>
          <a:endParaRPr lang="en-US" sz="14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247650</xdr:colOff>
      <xdr:row>26</xdr:row>
      <xdr:rowOff>57149</xdr:rowOff>
    </xdr:from>
    <xdr:to>
      <xdr:col>11</xdr:col>
      <xdr:colOff>114300</xdr:colOff>
      <xdr:row>33</xdr:row>
      <xdr:rowOff>76199</xdr:rowOff>
    </xdr:to>
    <xdr:sp macro="" textlink="">
      <xdr:nvSpPr>
        <xdr:cNvPr id="6" name="مستطيل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977389875" y="9001124"/>
          <a:ext cx="3648075" cy="115252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ar-EG" sz="2000">
              <a:solidFill>
                <a:sysClr val="windowText" lastClr="000000"/>
              </a:solidFill>
            </a:rPr>
            <a:t>    </a:t>
          </a:r>
          <a:r>
            <a:rPr lang="ar-SA" sz="1800" b="1">
              <a:solidFill>
                <a:sysClr val="windowText" lastClr="000000"/>
              </a:solidFill>
            </a:rPr>
            <a:t>التوقيع /</a:t>
          </a:r>
        </a:p>
        <a:p>
          <a:pPr algn="ctr" rtl="1"/>
          <a:r>
            <a:rPr lang="ar-EG" sz="1800" b="1">
              <a:solidFill>
                <a:sysClr val="windowText" lastClr="000000"/>
              </a:solidFill>
            </a:rPr>
            <a:t>    </a:t>
          </a:r>
          <a:r>
            <a:rPr lang="ar-EG" sz="2400" b="1">
              <a:solidFill>
                <a:sysClr val="windowText" lastClr="000000"/>
              </a:solidFill>
            </a:rPr>
            <a:t>مـــــدير القــــــزق</a:t>
          </a:r>
        </a:p>
      </xdr:txBody>
    </xdr:sp>
    <xdr:clientData/>
  </xdr:twoCellAnchor>
  <xdr:twoCellAnchor>
    <xdr:from>
      <xdr:col>7</xdr:col>
      <xdr:colOff>190500</xdr:colOff>
      <xdr:row>17</xdr:row>
      <xdr:rowOff>85725</xdr:rowOff>
    </xdr:from>
    <xdr:to>
      <xdr:col>10</xdr:col>
      <xdr:colOff>19050</xdr:colOff>
      <xdr:row>19</xdr:row>
      <xdr:rowOff>180975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9978437625" y="7086600"/>
          <a:ext cx="1733550" cy="742950"/>
        </a:xfrm>
        <a:prstGeom prst="rect">
          <a:avLst/>
        </a:prstGeom>
        <a:solidFill>
          <a:sysClr val="window" lastClr="FFFFFF"/>
        </a:solidFill>
        <a:ln w="25400" cap="flat" cmpd="sng" algn="ctr">
          <a:noFill/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التوقيـــع /</a:t>
          </a:r>
          <a:r>
            <a:rPr lang="ar-EG" sz="9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.</a:t>
          </a:r>
          <a:endParaRPr lang="en-US" sz="12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القسم  المــــــالي</a:t>
          </a:r>
          <a:endParaRPr lang="en-US" sz="14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</xdr:row>
      <xdr:rowOff>133350</xdr:rowOff>
    </xdr:from>
    <xdr:to>
      <xdr:col>3</xdr:col>
      <xdr:colOff>180975</xdr:colOff>
      <xdr:row>2</xdr:row>
      <xdr:rowOff>600075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9981723750" y="133350"/>
          <a:ext cx="2771775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600" b="1"/>
            <a:t>جهاز مستقبل مصر للتنمية المستدامة</a:t>
          </a:r>
        </a:p>
        <a:p>
          <a:pPr algn="ctr" rtl="1"/>
          <a:r>
            <a:rPr lang="ar-SA" sz="1600" b="1"/>
            <a:t>قطاع جزر البحرالاحمر</a:t>
          </a:r>
        </a:p>
        <a:p>
          <a:pPr algn="ctr" rtl="1"/>
          <a:r>
            <a:rPr lang="ar-SA" sz="1600" b="1"/>
            <a:t>مركز صيانة وانشاء اللنشات (القزق </a:t>
          </a:r>
          <a:r>
            <a:rPr lang="ar-SA" sz="1100" b="1"/>
            <a:t>)</a:t>
          </a:r>
          <a:endParaRPr lang="ar-EG" sz="1100" b="1"/>
        </a:p>
      </xdr:txBody>
    </xdr:sp>
    <xdr:clientData/>
  </xdr:twoCellAnchor>
  <xdr:twoCellAnchor>
    <xdr:from>
      <xdr:col>1</xdr:col>
      <xdr:colOff>38100</xdr:colOff>
      <xdr:row>2</xdr:row>
      <xdr:rowOff>647700</xdr:rowOff>
    </xdr:from>
    <xdr:to>
      <xdr:col>10</xdr:col>
      <xdr:colOff>266700</xdr:colOff>
      <xdr:row>3</xdr:row>
      <xdr:rowOff>9525</xdr:rowOff>
    </xdr:to>
    <xdr:cxnSp macro="">
      <xdr:nvCxnSpPr>
        <xdr:cNvPr id="3" name="رابط مستقيم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 flipH="1">
          <a:off x="9978104250" y="1171575"/>
          <a:ext cx="6391275" cy="19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133350</xdr:colOff>
      <xdr:row>1</xdr:row>
      <xdr:rowOff>133350</xdr:rowOff>
    </xdr:from>
    <xdr:to>
      <xdr:col>9</xdr:col>
      <xdr:colOff>952500</xdr:colOff>
      <xdr:row>2</xdr:row>
      <xdr:rowOff>376555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8694800" y="133350"/>
          <a:ext cx="1866900" cy="7670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9525</xdr:colOff>
      <xdr:row>15</xdr:row>
      <xdr:rowOff>152400</xdr:rowOff>
    </xdr:from>
    <xdr:to>
      <xdr:col>2</xdr:col>
      <xdr:colOff>2000251</xdr:colOff>
      <xdr:row>17</xdr:row>
      <xdr:rowOff>247650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9982276199" y="6248400"/>
          <a:ext cx="1990726" cy="742950"/>
        </a:xfrm>
        <a:prstGeom prst="rect">
          <a:avLst/>
        </a:prstGeom>
        <a:solidFill>
          <a:sysClr val="window" lastClr="FFFFFF"/>
        </a:solidFill>
        <a:ln w="25400" cap="flat" cmpd="sng" algn="ctr">
          <a:noFill/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التوقيـــع /</a:t>
          </a:r>
          <a:r>
            <a:rPr lang="ar-EG" sz="9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.</a:t>
          </a:r>
          <a:endParaRPr lang="en-US" sz="12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SA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مـــالك</a:t>
          </a:r>
          <a:r>
            <a:rPr lang="ar-SA" sz="16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 العــــائمة</a:t>
          </a:r>
          <a:endParaRPr lang="en-US" sz="14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114300</xdr:colOff>
      <xdr:row>15</xdr:row>
      <xdr:rowOff>238125</xdr:rowOff>
    </xdr:from>
    <xdr:to>
      <xdr:col>9</xdr:col>
      <xdr:colOff>628650</xdr:colOff>
      <xdr:row>18</xdr:row>
      <xdr:rowOff>9525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9979018650" y="6334125"/>
          <a:ext cx="1733550" cy="742950"/>
        </a:xfrm>
        <a:prstGeom prst="rect">
          <a:avLst/>
        </a:prstGeom>
        <a:solidFill>
          <a:sysClr val="window" lastClr="FFFFFF"/>
        </a:solidFill>
        <a:ln w="25400" cap="flat" cmpd="sng" algn="ctr">
          <a:noFill/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التوقيـــع /</a:t>
          </a:r>
          <a:r>
            <a:rPr lang="ar-EG" sz="9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.</a:t>
          </a:r>
          <a:endParaRPr lang="en-US" sz="12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القسم  المــــــالي</a:t>
          </a:r>
          <a:endParaRPr lang="en-US" sz="14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47625</xdr:colOff>
      <xdr:row>18</xdr:row>
      <xdr:rowOff>276225</xdr:rowOff>
    </xdr:from>
    <xdr:to>
      <xdr:col>10</xdr:col>
      <xdr:colOff>161925</xdr:colOff>
      <xdr:row>25</xdr:row>
      <xdr:rowOff>133350</xdr:rowOff>
    </xdr:to>
    <xdr:sp macro="" textlink="">
      <xdr:nvSpPr>
        <xdr:cNvPr id="7" name="مستطيل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9978209025" y="7343775"/>
          <a:ext cx="3648075" cy="115252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ar-EG" sz="2000">
              <a:solidFill>
                <a:sysClr val="windowText" lastClr="000000"/>
              </a:solidFill>
            </a:rPr>
            <a:t>    </a:t>
          </a:r>
          <a:r>
            <a:rPr lang="ar-SA" sz="1800" b="1">
              <a:solidFill>
                <a:sysClr val="windowText" lastClr="000000"/>
              </a:solidFill>
            </a:rPr>
            <a:t>التوقيع /</a:t>
          </a:r>
        </a:p>
        <a:p>
          <a:pPr algn="ctr" rtl="1"/>
          <a:r>
            <a:rPr lang="ar-EG" sz="1800" b="1">
              <a:solidFill>
                <a:sysClr val="windowText" lastClr="000000"/>
              </a:solidFill>
            </a:rPr>
            <a:t>    </a:t>
          </a:r>
          <a:r>
            <a:rPr lang="ar-EG" sz="2000" b="1">
              <a:solidFill>
                <a:sysClr val="windowText" lastClr="000000"/>
              </a:solidFill>
            </a:rPr>
            <a:t>مــــــدير القـــــــزق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400049</xdr:colOff>
      <xdr:row>1</xdr:row>
      <xdr:rowOff>323851</xdr:rowOff>
    </xdr:from>
    <xdr:to>
      <xdr:col>5</xdr:col>
      <xdr:colOff>447675</xdr:colOff>
      <xdr:row>2</xdr:row>
      <xdr:rowOff>419101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9981657075" y="485776"/>
          <a:ext cx="2371726" cy="838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400" b="1"/>
            <a:t>جهاز</a:t>
          </a:r>
          <a:r>
            <a:rPr lang="ar-SA" sz="1400" b="1" baseline="0"/>
            <a:t> مستقبل مصر للتنمية المستدامة</a:t>
          </a:r>
        </a:p>
        <a:p>
          <a:pPr algn="ctr" rtl="1"/>
          <a:r>
            <a:rPr lang="ar-SA" sz="1400" b="1" baseline="0"/>
            <a:t>قطاع جزر البحر الاحمر</a:t>
          </a:r>
          <a:endParaRPr lang="ar-SA" sz="1400" b="1"/>
        </a:p>
        <a:p>
          <a:pPr algn="ctr" rtl="1"/>
          <a:r>
            <a:rPr lang="ar-SA" sz="1200" b="1"/>
            <a:t>مركز صيانة وانشاء اللنشات (القزق </a:t>
          </a:r>
          <a:r>
            <a:rPr lang="ar-SA" sz="1050" b="1"/>
            <a:t>)</a:t>
          </a:r>
          <a:endParaRPr lang="ar-EG" sz="1050" b="1"/>
        </a:p>
      </xdr:txBody>
    </xdr:sp>
    <xdr:clientData/>
  </xdr:twoCellAnchor>
  <xdr:twoCellAnchor>
    <xdr:from>
      <xdr:col>1</xdr:col>
      <xdr:colOff>114299</xdr:colOff>
      <xdr:row>2</xdr:row>
      <xdr:rowOff>571500</xdr:rowOff>
    </xdr:from>
    <xdr:to>
      <xdr:col>11</xdr:col>
      <xdr:colOff>276225</xdr:colOff>
      <xdr:row>3</xdr:row>
      <xdr:rowOff>19050</xdr:rowOff>
    </xdr:to>
    <xdr:cxnSp macro="">
      <xdr:nvCxnSpPr>
        <xdr:cNvPr id="3" name="رابط مستقيم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 flipH="1">
          <a:off x="9977227950" y="1476375"/>
          <a:ext cx="7048501" cy="285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838200</xdr:colOff>
      <xdr:row>1</xdr:row>
      <xdr:rowOff>361950</xdr:rowOff>
    </xdr:from>
    <xdr:to>
      <xdr:col>10</xdr:col>
      <xdr:colOff>800100</xdr:colOff>
      <xdr:row>2</xdr:row>
      <xdr:rowOff>386080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7656575" y="523875"/>
          <a:ext cx="1866900" cy="7670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133348</xdr:colOff>
      <xdr:row>16</xdr:row>
      <xdr:rowOff>304800</xdr:rowOff>
    </xdr:from>
    <xdr:to>
      <xdr:col>5</xdr:col>
      <xdr:colOff>200024</xdr:colOff>
      <xdr:row>19</xdr:row>
      <xdr:rowOff>76200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9981904726" y="6981825"/>
          <a:ext cx="1990726" cy="742950"/>
        </a:xfrm>
        <a:prstGeom prst="rect">
          <a:avLst/>
        </a:prstGeom>
        <a:solidFill>
          <a:sysClr val="window" lastClr="FFFFFF"/>
        </a:solidFill>
        <a:ln w="25400" cap="flat" cmpd="sng" algn="ctr">
          <a:noFill/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التوقيـــع /</a:t>
          </a:r>
          <a:r>
            <a:rPr lang="ar-EG" sz="9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.</a:t>
          </a:r>
          <a:endParaRPr lang="en-US" sz="12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SA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مـــالك</a:t>
          </a:r>
          <a:r>
            <a:rPr lang="ar-SA" sz="16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 العــــائمة</a:t>
          </a:r>
          <a:endParaRPr lang="en-US" sz="14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247650</xdr:colOff>
      <xdr:row>26</xdr:row>
      <xdr:rowOff>57149</xdr:rowOff>
    </xdr:from>
    <xdr:to>
      <xdr:col>11</xdr:col>
      <xdr:colOff>114300</xdr:colOff>
      <xdr:row>33</xdr:row>
      <xdr:rowOff>76199</xdr:rowOff>
    </xdr:to>
    <xdr:sp macro="" textlink="">
      <xdr:nvSpPr>
        <xdr:cNvPr id="6" name="مستطيل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9977389875" y="9001124"/>
          <a:ext cx="3648075" cy="115252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ar-EG" sz="2000">
              <a:solidFill>
                <a:sysClr val="windowText" lastClr="000000"/>
              </a:solidFill>
            </a:rPr>
            <a:t>    </a:t>
          </a:r>
          <a:r>
            <a:rPr lang="ar-SA" sz="1800" b="1">
              <a:solidFill>
                <a:sysClr val="windowText" lastClr="000000"/>
              </a:solidFill>
            </a:rPr>
            <a:t>التوقيع /</a:t>
          </a:r>
        </a:p>
        <a:p>
          <a:pPr algn="ctr" rtl="1"/>
          <a:r>
            <a:rPr lang="ar-EG" sz="1800" b="1">
              <a:solidFill>
                <a:sysClr val="windowText" lastClr="000000"/>
              </a:solidFill>
            </a:rPr>
            <a:t>مــــديــر القـــــــزق</a:t>
          </a:r>
        </a:p>
      </xdr:txBody>
    </xdr:sp>
    <xdr:clientData/>
  </xdr:twoCellAnchor>
  <xdr:twoCellAnchor>
    <xdr:from>
      <xdr:col>7</xdr:col>
      <xdr:colOff>190500</xdr:colOff>
      <xdr:row>17</xdr:row>
      <xdr:rowOff>85725</xdr:rowOff>
    </xdr:from>
    <xdr:to>
      <xdr:col>10</xdr:col>
      <xdr:colOff>19050</xdr:colOff>
      <xdr:row>19</xdr:row>
      <xdr:rowOff>180975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9978437625" y="7086600"/>
          <a:ext cx="1733550" cy="742950"/>
        </a:xfrm>
        <a:prstGeom prst="rect">
          <a:avLst/>
        </a:prstGeom>
        <a:solidFill>
          <a:sysClr val="window" lastClr="FFFFFF"/>
        </a:solidFill>
        <a:ln w="25400" cap="flat" cmpd="sng" algn="ctr">
          <a:noFill/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التوقيـــع /</a:t>
          </a:r>
          <a:r>
            <a:rPr lang="ar-EG" sz="9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.</a:t>
          </a:r>
          <a:endParaRPr lang="en-US" sz="12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القسم المــــــالي</a:t>
          </a:r>
          <a:endParaRPr lang="en-US" sz="14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95251</xdr:colOff>
      <xdr:row>2</xdr:row>
      <xdr:rowOff>275167</xdr:rowOff>
    </xdr:from>
    <xdr:to>
      <xdr:col>15</xdr:col>
      <xdr:colOff>31750</xdr:colOff>
      <xdr:row>2</xdr:row>
      <xdr:rowOff>285750</xdr:rowOff>
    </xdr:to>
    <xdr:cxnSp macro="">
      <xdr:nvCxnSpPr>
        <xdr:cNvPr id="9" name="رابط مستقيم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CxnSpPr/>
      </xdr:nvCxnSpPr>
      <xdr:spPr>
        <a:xfrm flipV="1">
          <a:off x="10047097000" y="1185334"/>
          <a:ext cx="7249583" cy="1058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137584</xdr:colOff>
      <xdr:row>1</xdr:row>
      <xdr:rowOff>179916</xdr:rowOff>
    </xdr:from>
    <xdr:to>
      <xdr:col>2</xdr:col>
      <xdr:colOff>2591859</xdr:colOff>
      <xdr:row>2</xdr:row>
      <xdr:rowOff>211666</xdr:rowOff>
    </xdr:to>
    <xdr:sp macro="" textlink="">
      <xdr:nvSpPr>
        <xdr:cNvPr id="8" name="مربع نص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10051532474" y="179916"/>
          <a:ext cx="2771775" cy="941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600" b="1"/>
            <a:t>جهاز مستقبل مصر للتنمية المستدامة</a:t>
          </a:r>
        </a:p>
        <a:p>
          <a:pPr algn="ctr" rtl="1"/>
          <a:r>
            <a:rPr lang="ar-SA" sz="1600" b="1"/>
            <a:t>قطاع جزر البحرالاحمر</a:t>
          </a:r>
        </a:p>
        <a:p>
          <a:pPr algn="ctr" rtl="1"/>
          <a:r>
            <a:rPr lang="ar-SA" sz="1600" b="1"/>
            <a:t>مركز صيانة وانشاء اللنشات (القزق </a:t>
          </a:r>
          <a:r>
            <a:rPr lang="ar-SA" sz="1100" b="1"/>
            <a:t>)</a:t>
          </a:r>
          <a:endParaRPr lang="ar-EG" sz="1100" b="1"/>
        </a:p>
      </xdr:txBody>
    </xdr:sp>
    <xdr:clientData/>
  </xdr:twoCellAnchor>
  <xdr:twoCellAnchor editAs="oneCell">
    <xdr:from>
      <xdr:col>7</xdr:col>
      <xdr:colOff>275167</xdr:colOff>
      <xdr:row>1</xdr:row>
      <xdr:rowOff>264583</xdr:rowOff>
    </xdr:from>
    <xdr:to>
      <xdr:col>9</xdr:col>
      <xdr:colOff>1454151</xdr:colOff>
      <xdr:row>2</xdr:row>
      <xdr:rowOff>121496</xdr:rowOff>
    </xdr:to>
    <xdr:pic>
      <xdr:nvPicPr>
        <xdr:cNvPr id="10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7717183" y="264583"/>
          <a:ext cx="1866900" cy="7670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190500</xdr:colOff>
      <xdr:row>16</xdr:row>
      <xdr:rowOff>169333</xdr:rowOff>
    </xdr:from>
    <xdr:to>
      <xdr:col>2</xdr:col>
      <xdr:colOff>2181226</xdr:colOff>
      <xdr:row>18</xdr:row>
      <xdr:rowOff>256116</xdr:rowOff>
    </xdr:to>
    <xdr:sp macro="" textlink="">
      <xdr:nvSpPr>
        <xdr:cNvPr id="11" name="Rectangle 5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10051943108" y="8212666"/>
          <a:ext cx="1990726" cy="742950"/>
        </a:xfrm>
        <a:prstGeom prst="rect">
          <a:avLst/>
        </a:prstGeom>
        <a:solidFill>
          <a:sysClr val="window" lastClr="FFFFFF"/>
        </a:solidFill>
        <a:ln w="25400" cap="flat" cmpd="sng" algn="ctr">
          <a:noFill/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التوقيـــع /</a:t>
          </a:r>
          <a:r>
            <a:rPr lang="ar-EG" sz="9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.</a:t>
          </a:r>
          <a:endParaRPr lang="en-US" sz="12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SA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مـــالك</a:t>
          </a:r>
          <a:r>
            <a:rPr lang="ar-SA" sz="16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 العــــائمة</a:t>
          </a:r>
          <a:endParaRPr lang="en-US" sz="14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329140</xdr:colOff>
      <xdr:row>16</xdr:row>
      <xdr:rowOff>96308</xdr:rowOff>
    </xdr:from>
    <xdr:to>
      <xdr:col>9</xdr:col>
      <xdr:colOff>771524</xdr:colOff>
      <xdr:row>18</xdr:row>
      <xdr:rowOff>183091</xdr:rowOff>
    </xdr:to>
    <xdr:sp macro="" textlink="">
      <xdr:nvSpPr>
        <xdr:cNvPr id="12" name="Rectangle 5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10048399810" y="8139641"/>
          <a:ext cx="1733550" cy="742950"/>
        </a:xfrm>
        <a:prstGeom prst="rect">
          <a:avLst/>
        </a:prstGeom>
        <a:solidFill>
          <a:sysClr val="window" lastClr="FFFFFF"/>
        </a:solidFill>
        <a:ln w="25400" cap="flat" cmpd="sng" algn="ctr">
          <a:noFill/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التوقيـــع /</a:t>
          </a:r>
          <a:r>
            <a:rPr lang="ar-EG" sz="9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.</a:t>
          </a:r>
          <a:endParaRPr lang="en-US" sz="12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القسم المــــــالي</a:t>
          </a:r>
          <a:endParaRPr lang="en-US" sz="14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271990</xdr:colOff>
      <xdr:row>21</xdr:row>
      <xdr:rowOff>26457</xdr:rowOff>
    </xdr:from>
    <xdr:to>
      <xdr:col>13</xdr:col>
      <xdr:colOff>141815</xdr:colOff>
      <xdr:row>28</xdr:row>
      <xdr:rowOff>67732</xdr:rowOff>
    </xdr:to>
    <xdr:sp macro="" textlink="">
      <xdr:nvSpPr>
        <xdr:cNvPr id="13" name="مستطيل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10047209185" y="9540874"/>
          <a:ext cx="3648075" cy="115252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ar-EG" sz="2000">
              <a:solidFill>
                <a:sysClr val="windowText" lastClr="000000"/>
              </a:solidFill>
            </a:rPr>
            <a:t>    </a:t>
          </a:r>
          <a:r>
            <a:rPr lang="ar-SA" sz="1800" b="1">
              <a:solidFill>
                <a:sysClr val="windowText" lastClr="000000"/>
              </a:solidFill>
            </a:rPr>
            <a:t>التوقيع /</a:t>
          </a:r>
        </a:p>
        <a:p>
          <a:pPr algn="ctr" rtl="1"/>
          <a:r>
            <a:rPr lang="ar-EG" sz="2400" b="1">
              <a:solidFill>
                <a:sysClr val="windowText" lastClr="000000"/>
              </a:solidFill>
            </a:rPr>
            <a:t>    مـــــديـر القـــــــــزق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</xdr:colOff>
      <xdr:row>1</xdr:row>
      <xdr:rowOff>323851</xdr:rowOff>
    </xdr:from>
    <xdr:to>
      <xdr:col>6</xdr:col>
      <xdr:colOff>214313</xdr:colOff>
      <xdr:row>2</xdr:row>
      <xdr:rowOff>419101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9942456937" y="490539"/>
          <a:ext cx="2578895" cy="833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400" b="1"/>
            <a:t>جهاز</a:t>
          </a:r>
          <a:r>
            <a:rPr lang="ar-SA" sz="1400" b="1" baseline="0"/>
            <a:t> مستقبل مصر للتنمية المستدامة</a:t>
          </a:r>
        </a:p>
        <a:p>
          <a:pPr algn="ctr" rtl="1"/>
          <a:r>
            <a:rPr lang="ar-SA" sz="1400" b="1" baseline="0"/>
            <a:t>قطاع جزر البحر الاحمر</a:t>
          </a:r>
          <a:endParaRPr lang="ar-SA" sz="1400" b="1"/>
        </a:p>
        <a:p>
          <a:pPr algn="ctr" rtl="1"/>
          <a:r>
            <a:rPr lang="ar-SA" sz="1200" b="1"/>
            <a:t>مركز صيانة وانشاء اللنشات (القزق </a:t>
          </a:r>
          <a:r>
            <a:rPr lang="ar-SA" sz="1050" b="1"/>
            <a:t>)</a:t>
          </a:r>
          <a:endParaRPr lang="ar-EG" sz="1050" b="1"/>
        </a:p>
      </xdr:txBody>
    </xdr:sp>
    <xdr:clientData/>
  </xdr:twoCellAnchor>
  <xdr:twoCellAnchor>
    <xdr:from>
      <xdr:col>1</xdr:col>
      <xdr:colOff>57148</xdr:colOff>
      <xdr:row>2</xdr:row>
      <xdr:rowOff>559594</xdr:rowOff>
    </xdr:from>
    <xdr:to>
      <xdr:col>11</xdr:col>
      <xdr:colOff>219074</xdr:colOff>
      <xdr:row>3</xdr:row>
      <xdr:rowOff>7144</xdr:rowOff>
    </xdr:to>
    <xdr:cxnSp macro="">
      <xdr:nvCxnSpPr>
        <xdr:cNvPr id="3" name="رابط مستقيم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 flipH="1">
          <a:off x="9938308801" y="1464469"/>
          <a:ext cx="6365082" cy="3095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254793</xdr:colOff>
      <xdr:row>1</xdr:row>
      <xdr:rowOff>326231</xdr:rowOff>
    </xdr:from>
    <xdr:to>
      <xdr:col>11</xdr:col>
      <xdr:colOff>121443</xdr:colOff>
      <xdr:row>2</xdr:row>
      <xdr:rowOff>350361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8585026" y="492919"/>
          <a:ext cx="1878806" cy="7623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288128</xdr:colOff>
      <xdr:row>20</xdr:row>
      <xdr:rowOff>126207</xdr:rowOff>
    </xdr:from>
    <xdr:to>
      <xdr:col>5</xdr:col>
      <xdr:colOff>354804</xdr:colOff>
      <xdr:row>24</xdr:row>
      <xdr:rowOff>40482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9942852227" y="7650957"/>
          <a:ext cx="1614489" cy="735806"/>
        </a:xfrm>
        <a:prstGeom prst="rect">
          <a:avLst/>
        </a:prstGeom>
        <a:solidFill>
          <a:sysClr val="window" lastClr="FFFFFF"/>
        </a:solidFill>
        <a:ln w="25400" cap="flat" cmpd="sng" algn="ctr">
          <a:noFill/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التوقيـــع /</a:t>
          </a:r>
          <a:r>
            <a:rPr lang="ar-EG" sz="9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.</a:t>
          </a:r>
          <a:endParaRPr lang="en-US" sz="12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SA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مـــالك</a:t>
          </a:r>
          <a:r>
            <a:rPr lang="ar-SA" sz="16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 العــــائمة</a:t>
          </a:r>
          <a:endParaRPr lang="en-US" sz="14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247650</xdr:colOff>
      <xdr:row>27</xdr:row>
      <xdr:rowOff>57149</xdr:rowOff>
    </xdr:from>
    <xdr:to>
      <xdr:col>11</xdr:col>
      <xdr:colOff>114300</xdr:colOff>
      <xdr:row>34</xdr:row>
      <xdr:rowOff>76199</xdr:rowOff>
    </xdr:to>
    <xdr:sp macro="" textlink="">
      <xdr:nvSpPr>
        <xdr:cNvPr id="6" name="مستطيل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9977389875" y="9001124"/>
          <a:ext cx="3648075" cy="115252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ar-EG" sz="2000">
              <a:solidFill>
                <a:sysClr val="windowText" lastClr="000000"/>
              </a:solidFill>
            </a:rPr>
            <a:t>    </a:t>
          </a:r>
          <a:r>
            <a:rPr lang="ar-SA" sz="1800" b="1">
              <a:solidFill>
                <a:sysClr val="windowText" lastClr="000000"/>
              </a:solidFill>
            </a:rPr>
            <a:t>التوقيع /</a:t>
          </a:r>
        </a:p>
        <a:p>
          <a:pPr algn="ctr" rtl="1"/>
          <a:r>
            <a:rPr lang="ar-EG" sz="1800" b="1">
              <a:solidFill>
                <a:sysClr val="windowText" lastClr="000000"/>
              </a:solidFill>
            </a:rPr>
            <a:t>    </a:t>
          </a:r>
          <a:r>
            <a:rPr lang="ar-EG" sz="2000" b="1">
              <a:solidFill>
                <a:sysClr val="windowText" lastClr="000000"/>
              </a:solidFill>
            </a:rPr>
            <a:t>مـــــدير القــــــزق</a:t>
          </a:r>
          <a:endParaRPr lang="ar-EG" sz="2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202407</xdr:colOff>
      <xdr:row>20</xdr:row>
      <xdr:rowOff>192881</xdr:rowOff>
    </xdr:from>
    <xdr:to>
      <xdr:col>10</xdr:col>
      <xdr:colOff>30957</xdr:colOff>
      <xdr:row>24</xdr:row>
      <xdr:rowOff>109538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9939104137" y="7717631"/>
          <a:ext cx="2066925" cy="738188"/>
        </a:xfrm>
        <a:prstGeom prst="rect">
          <a:avLst/>
        </a:prstGeom>
        <a:solidFill>
          <a:sysClr val="window" lastClr="FFFFFF"/>
        </a:solidFill>
        <a:ln w="25400" cap="flat" cmpd="sng" algn="ctr">
          <a:noFill/>
          <a:prstDash val="solid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التوقيـــع /</a:t>
          </a:r>
          <a:r>
            <a:rPr lang="ar-EG" sz="9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.</a:t>
          </a:r>
          <a:endParaRPr lang="en-US" sz="12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0" marR="0" algn="r" rtl="1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ar-EG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القسم المــــــالي</a:t>
          </a:r>
          <a:endParaRPr lang="en-US" sz="1400" b="1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&#1603;&#1604;&#1607;%20&#1576;&#1575;&#1604;&#1601;&#1608;&#1585;&#1605;.xls" TargetMode="External" 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am1198/Downloads/&#1575;&#1604;&#1576;&#1581;&#1579;%20&#1576;&#1575;&#1604;&#1585;&#1602;&#1605;%20&#1575;&#1604;&#1602;&#1608;&#1605;&#1609;/&#1601;&#1608;&#1585;&#1605;%20&#1575;&#1583;&#1582;&#1575;&#1604;%20&#1604;&#1604;&#1575;&#1603;&#1575;&#1583;&#1610;&#1605;&#1610;&#1577;.xls" TargetMode="External" 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APPLE/Downloads/Compressed/book%20book4.xlsb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حضور وانصراف"/>
      <sheetName val="استقبال"/>
      <sheetName val="تجميعة أسعار الحالة"/>
      <sheetName val="الام"/>
      <sheetName val="اختيار الادوية والمستلزمات "/>
      <sheetName val="مخزن أدوية"/>
      <sheetName val="حساب مورد"/>
      <sheetName val="مخزن مستلزمات"/>
      <sheetName val="حساب مورد مستلزمات"/>
      <sheetName val="حساب اجمالى"/>
      <sheetName val="ترحيل المصروفات بالتاريخ"/>
      <sheetName val="الشرح"/>
      <sheetName val="القوائم"/>
      <sheetName val="مثال1"/>
      <sheetName val="مثال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رئيسية"/>
      <sheetName val="ادخال مستلزمات"/>
      <sheetName val="اللاعبين"/>
      <sheetName val="بحث عن"/>
      <sheetName val="المدربين"/>
      <sheetName val="حراس المرمى"/>
      <sheetName val="التسديد الشهرى للاشتراك"/>
      <sheetName val="الكارنيه"/>
      <sheetName val="Sheet1"/>
    </sheetNames>
    <sheetDataSet>
      <sheetData sheetId="0" refreshError="1"/>
      <sheetData sheetId="1">
        <row r="3">
          <cell r="A3">
            <v>1001</v>
          </cell>
          <cell r="B3" t="str">
            <v>س1</v>
          </cell>
          <cell r="C3">
            <v>28620</v>
          </cell>
          <cell r="D3" t="str">
            <v>مصرى1</v>
          </cell>
          <cell r="E3" t="str">
            <v>الدلنجات1</v>
          </cell>
          <cell r="F3">
            <v>27805101802434</v>
          </cell>
          <cell r="G3" t="str">
            <v>السلام الاعدادية1</v>
          </cell>
          <cell r="H3" t="str">
            <v>الثالث الاعدادى1</v>
          </cell>
          <cell r="I3" t="str">
            <v>ص1</v>
          </cell>
          <cell r="J3">
            <v>26005101802434</v>
          </cell>
          <cell r="K3" t="str">
            <v>ش المنتزه1</v>
          </cell>
          <cell r="L3">
            <v>1152732720</v>
          </cell>
          <cell r="M3">
            <v>1288402143</v>
          </cell>
          <cell r="N3" t="str">
            <v>كرة القدم1</v>
          </cell>
          <cell r="O3" t="str">
            <v>الجوهرى1</v>
          </cell>
          <cell r="P3">
            <v>80</v>
          </cell>
          <cell r="Q3">
            <v>44001</v>
          </cell>
          <cell r="R3" t="str">
            <v>باص1</v>
          </cell>
        </row>
        <row r="4">
          <cell r="A4">
            <v>1002</v>
          </cell>
          <cell r="B4" t="str">
            <v>س2</v>
          </cell>
          <cell r="C4">
            <v>28621</v>
          </cell>
          <cell r="D4" t="str">
            <v>مصرى2</v>
          </cell>
          <cell r="E4" t="str">
            <v>الدلنجات2</v>
          </cell>
          <cell r="F4">
            <v>27805101802435</v>
          </cell>
          <cell r="G4" t="str">
            <v>السلام الاعدادية2</v>
          </cell>
          <cell r="H4" t="str">
            <v>الثالث الاعدادى2</v>
          </cell>
          <cell r="I4" t="str">
            <v>ص2</v>
          </cell>
          <cell r="J4">
            <v>26005101802435</v>
          </cell>
          <cell r="K4" t="str">
            <v>ش المنتزه2</v>
          </cell>
          <cell r="L4">
            <v>1152732720</v>
          </cell>
          <cell r="M4">
            <v>1288402143</v>
          </cell>
          <cell r="N4" t="str">
            <v>حارس مرمى</v>
          </cell>
          <cell r="O4" t="str">
            <v>الجوهرى2</v>
          </cell>
          <cell r="P4">
            <v>80</v>
          </cell>
          <cell r="Q4">
            <v>44002</v>
          </cell>
          <cell r="R4" t="str">
            <v>باص2</v>
          </cell>
        </row>
        <row r="5">
          <cell r="A5">
            <v>1003</v>
          </cell>
          <cell r="B5" t="str">
            <v>س3</v>
          </cell>
          <cell r="C5">
            <v>28622</v>
          </cell>
          <cell r="D5" t="str">
            <v>مصرى3</v>
          </cell>
          <cell r="E5" t="str">
            <v>الدلنجات3</v>
          </cell>
          <cell r="F5">
            <v>27805101802436</v>
          </cell>
          <cell r="G5" t="str">
            <v>السلام الاعدادية3</v>
          </cell>
          <cell r="H5" t="str">
            <v>الثالث الاعدادى3</v>
          </cell>
          <cell r="I5" t="str">
            <v>ص3</v>
          </cell>
          <cell r="J5">
            <v>26005101802436</v>
          </cell>
          <cell r="K5" t="str">
            <v>ش المنتزه3</v>
          </cell>
          <cell r="L5">
            <v>1152732720</v>
          </cell>
          <cell r="M5">
            <v>1288402143</v>
          </cell>
          <cell r="N5" t="str">
            <v>مدرب</v>
          </cell>
          <cell r="O5" t="str">
            <v>الجوهرى3</v>
          </cell>
          <cell r="P5">
            <v>80</v>
          </cell>
          <cell r="Q5">
            <v>44003</v>
          </cell>
          <cell r="R5" t="str">
            <v>باص3</v>
          </cell>
        </row>
        <row r="6">
          <cell r="A6">
            <v>1004</v>
          </cell>
          <cell r="B6" t="str">
            <v>س4</v>
          </cell>
          <cell r="C6">
            <v>28623</v>
          </cell>
          <cell r="D6" t="str">
            <v>مصرى4</v>
          </cell>
          <cell r="E6" t="str">
            <v>الدلنجات4</v>
          </cell>
          <cell r="F6">
            <v>27805101802437</v>
          </cell>
          <cell r="G6" t="str">
            <v>السلام الاعدادية4</v>
          </cell>
          <cell r="H6" t="str">
            <v>الثالث الاعدادى4</v>
          </cell>
          <cell r="I6" t="str">
            <v>ص4</v>
          </cell>
          <cell r="J6">
            <v>26005101802437</v>
          </cell>
          <cell r="K6" t="str">
            <v>ش المنتزه4</v>
          </cell>
          <cell r="L6">
            <v>1152732720</v>
          </cell>
          <cell r="M6">
            <v>1288402143</v>
          </cell>
          <cell r="N6" t="str">
            <v>ادارى</v>
          </cell>
          <cell r="O6" t="str">
            <v>الجوهرى4</v>
          </cell>
          <cell r="P6">
            <v>80</v>
          </cell>
          <cell r="Q6">
            <v>44004</v>
          </cell>
          <cell r="R6" t="str">
            <v>باص4</v>
          </cell>
        </row>
        <row r="7">
          <cell r="A7">
            <v>1005</v>
          </cell>
          <cell r="B7" t="str">
            <v>س5</v>
          </cell>
          <cell r="C7">
            <v>28624</v>
          </cell>
          <cell r="D7" t="str">
            <v>مصرى5</v>
          </cell>
          <cell r="E7" t="str">
            <v>الدلنجات5</v>
          </cell>
          <cell r="F7">
            <v>27805101802438</v>
          </cell>
          <cell r="G7" t="str">
            <v>السلام الاعدادية5</v>
          </cell>
          <cell r="H7" t="str">
            <v>الثالث الاعدادى5</v>
          </cell>
          <cell r="I7" t="str">
            <v>ص5</v>
          </cell>
          <cell r="J7">
            <v>26005101802438</v>
          </cell>
          <cell r="K7" t="str">
            <v>ش المنتزه5</v>
          </cell>
          <cell r="L7">
            <v>1152732720</v>
          </cell>
          <cell r="M7">
            <v>1288402143</v>
          </cell>
          <cell r="N7" t="str">
            <v>مسئول فنى</v>
          </cell>
          <cell r="O7" t="str">
            <v>الجوهرى5</v>
          </cell>
          <cell r="P7">
            <v>80</v>
          </cell>
          <cell r="Q7">
            <v>44005</v>
          </cell>
          <cell r="R7" t="str">
            <v>باص5</v>
          </cell>
        </row>
        <row r="8">
          <cell r="A8">
            <v>1006</v>
          </cell>
          <cell r="B8" t="str">
            <v>س6</v>
          </cell>
          <cell r="C8">
            <v>28625</v>
          </cell>
          <cell r="D8" t="str">
            <v>مصرى6</v>
          </cell>
          <cell r="E8" t="str">
            <v>الدلنجات6</v>
          </cell>
          <cell r="F8">
            <v>27805101802439</v>
          </cell>
          <cell r="G8" t="str">
            <v>السلام الاعدادية6</v>
          </cell>
          <cell r="H8" t="str">
            <v>الثالث الاعدادى6</v>
          </cell>
          <cell r="I8" t="str">
            <v>ص6</v>
          </cell>
          <cell r="J8">
            <v>26005101802439</v>
          </cell>
          <cell r="K8" t="str">
            <v>ش المنتزه6</v>
          </cell>
          <cell r="L8">
            <v>1152732720</v>
          </cell>
          <cell r="M8">
            <v>1288402143</v>
          </cell>
          <cell r="N8" t="str">
            <v>مسئول مالى</v>
          </cell>
          <cell r="O8" t="str">
            <v>الجوهرى6</v>
          </cell>
          <cell r="P8">
            <v>80</v>
          </cell>
          <cell r="Q8">
            <v>44006</v>
          </cell>
          <cell r="R8" t="str">
            <v>باص6</v>
          </cell>
        </row>
        <row r="9">
          <cell r="A9">
            <v>1007</v>
          </cell>
          <cell r="B9" t="str">
            <v>س7</v>
          </cell>
          <cell r="C9">
            <v>28626</v>
          </cell>
          <cell r="D9" t="str">
            <v>مصرى7</v>
          </cell>
          <cell r="E9" t="str">
            <v>الدلنجات7</v>
          </cell>
          <cell r="F9">
            <v>27805101802440</v>
          </cell>
          <cell r="G9" t="str">
            <v>السلام الاعدادية7</v>
          </cell>
          <cell r="H9" t="str">
            <v>الثالث الاعدادى7</v>
          </cell>
          <cell r="I9" t="str">
            <v>ص7</v>
          </cell>
          <cell r="J9">
            <v>26005101802440</v>
          </cell>
          <cell r="K9" t="str">
            <v>ش المنتزه7</v>
          </cell>
          <cell r="L9">
            <v>1152732720</v>
          </cell>
          <cell r="M9">
            <v>1288402143</v>
          </cell>
          <cell r="N9" t="str">
            <v>كرة القدم7</v>
          </cell>
          <cell r="O9" t="str">
            <v>الجوهرى7</v>
          </cell>
          <cell r="P9">
            <v>80</v>
          </cell>
          <cell r="Q9">
            <v>44007</v>
          </cell>
          <cell r="R9" t="str">
            <v>باص7</v>
          </cell>
        </row>
        <row r="10">
          <cell r="A10">
            <v>1008</v>
          </cell>
          <cell r="B10" t="str">
            <v>س8</v>
          </cell>
          <cell r="C10">
            <v>28627</v>
          </cell>
          <cell r="D10" t="str">
            <v>مصرى8</v>
          </cell>
          <cell r="E10" t="str">
            <v>الدلنجات8</v>
          </cell>
          <cell r="F10">
            <v>27805101802441</v>
          </cell>
          <cell r="G10" t="str">
            <v>السلام الاعدادية8</v>
          </cell>
          <cell r="H10" t="str">
            <v>الثالث الاعدادى8</v>
          </cell>
          <cell r="I10" t="str">
            <v>ص8</v>
          </cell>
          <cell r="J10">
            <v>26005101802441</v>
          </cell>
          <cell r="K10" t="str">
            <v>ش المنتزه8</v>
          </cell>
          <cell r="L10">
            <v>1152732720</v>
          </cell>
          <cell r="M10">
            <v>1288402143</v>
          </cell>
          <cell r="N10" t="str">
            <v>كرة القدم8</v>
          </cell>
          <cell r="O10" t="str">
            <v>الجوهرى8</v>
          </cell>
          <cell r="P10">
            <v>80</v>
          </cell>
          <cell r="Q10">
            <v>44008</v>
          </cell>
          <cell r="R10" t="str">
            <v>باص8</v>
          </cell>
        </row>
        <row r="11">
          <cell r="A11">
            <v>1009</v>
          </cell>
          <cell r="B11" t="str">
            <v>س9</v>
          </cell>
          <cell r="C11">
            <v>28628</v>
          </cell>
          <cell r="D11" t="str">
            <v>مصرى9</v>
          </cell>
          <cell r="E11" t="str">
            <v>الدلنجات9</v>
          </cell>
          <cell r="F11">
            <v>27805101802442</v>
          </cell>
          <cell r="G11" t="str">
            <v>السلام الاعدادية9</v>
          </cell>
          <cell r="H11" t="str">
            <v>الثالث الاعدادى9</v>
          </cell>
          <cell r="I11" t="str">
            <v>ص9</v>
          </cell>
          <cell r="J11">
            <v>26005101802442</v>
          </cell>
          <cell r="K11" t="str">
            <v>ش المنتزه9</v>
          </cell>
          <cell r="L11">
            <v>1152732720</v>
          </cell>
          <cell r="M11">
            <v>1288402143</v>
          </cell>
          <cell r="N11" t="str">
            <v>كرة القدم9</v>
          </cell>
          <cell r="O11" t="str">
            <v>الجوهرى9</v>
          </cell>
          <cell r="P11">
            <v>80</v>
          </cell>
          <cell r="Q11">
            <v>44009</v>
          </cell>
          <cell r="R11" t="str">
            <v>باص9</v>
          </cell>
        </row>
        <row r="12">
          <cell r="A12">
            <v>1010</v>
          </cell>
          <cell r="B12" t="str">
            <v>س10</v>
          </cell>
          <cell r="C12">
            <v>28629</v>
          </cell>
          <cell r="D12" t="str">
            <v>مصرى10</v>
          </cell>
          <cell r="E12" t="str">
            <v>الدلنجات10</v>
          </cell>
          <cell r="F12">
            <v>27805101802443</v>
          </cell>
          <cell r="G12" t="str">
            <v>السلام الاعدادية10</v>
          </cell>
          <cell r="H12" t="str">
            <v>الثالث الاعدادى10</v>
          </cell>
          <cell r="I12" t="str">
            <v>ص10</v>
          </cell>
          <cell r="J12">
            <v>26005101802443</v>
          </cell>
          <cell r="K12" t="str">
            <v>ش المنتزه10</v>
          </cell>
          <cell r="L12">
            <v>1152732720</v>
          </cell>
          <cell r="M12">
            <v>1288402143</v>
          </cell>
          <cell r="N12" t="str">
            <v>كرة القدم10</v>
          </cell>
          <cell r="O12" t="str">
            <v>الجوهرى10</v>
          </cell>
          <cell r="P12">
            <v>80</v>
          </cell>
          <cell r="Q12">
            <v>44010</v>
          </cell>
          <cell r="R12" t="str">
            <v>باص10</v>
          </cell>
        </row>
        <row r="13">
          <cell r="A13">
            <v>1011</v>
          </cell>
          <cell r="B13" t="str">
            <v>س11</v>
          </cell>
          <cell r="C13">
            <v>28630</v>
          </cell>
          <cell r="D13" t="str">
            <v>مصرى11</v>
          </cell>
          <cell r="E13" t="str">
            <v>الدلنجات11</v>
          </cell>
          <cell r="F13">
            <v>27805101802444</v>
          </cell>
          <cell r="G13" t="str">
            <v>السلام الاعدادية11</v>
          </cell>
          <cell r="H13" t="str">
            <v>الثالث الاعدادى11</v>
          </cell>
          <cell r="I13" t="str">
            <v>ص11</v>
          </cell>
          <cell r="J13">
            <v>26005101802444</v>
          </cell>
          <cell r="K13" t="str">
            <v>ش المنتزه11</v>
          </cell>
          <cell r="L13">
            <v>1152732720</v>
          </cell>
          <cell r="M13">
            <v>1288402143</v>
          </cell>
          <cell r="N13" t="str">
            <v>كرة القدم11</v>
          </cell>
          <cell r="O13" t="str">
            <v>الجوهرى11</v>
          </cell>
          <cell r="P13">
            <v>80</v>
          </cell>
          <cell r="Q13">
            <v>44011</v>
          </cell>
          <cell r="R13" t="str">
            <v>باص11</v>
          </cell>
        </row>
        <row r="14">
          <cell r="A14">
            <v>1012</v>
          </cell>
          <cell r="B14" t="str">
            <v>س12</v>
          </cell>
          <cell r="C14">
            <v>28631</v>
          </cell>
          <cell r="D14" t="str">
            <v>مصرى12</v>
          </cell>
          <cell r="E14" t="str">
            <v>الدلنجات12</v>
          </cell>
          <cell r="F14">
            <v>27805101802445</v>
          </cell>
          <cell r="G14" t="str">
            <v>السلام الاعدادية12</v>
          </cell>
          <cell r="H14" t="str">
            <v>الثالث الاعدادى12</v>
          </cell>
          <cell r="I14" t="str">
            <v>ص12</v>
          </cell>
          <cell r="J14">
            <v>26005101802445</v>
          </cell>
          <cell r="K14" t="str">
            <v>ش المنتزه12</v>
          </cell>
          <cell r="L14">
            <v>1152732720</v>
          </cell>
          <cell r="M14">
            <v>1288402143</v>
          </cell>
          <cell r="N14" t="str">
            <v>كرة القدم12</v>
          </cell>
          <cell r="O14" t="str">
            <v>الجوهرى12</v>
          </cell>
          <cell r="P14">
            <v>80</v>
          </cell>
          <cell r="Q14">
            <v>44012</v>
          </cell>
          <cell r="R14" t="str">
            <v>باص12</v>
          </cell>
        </row>
        <row r="15">
          <cell r="A15">
            <v>1013</v>
          </cell>
          <cell r="B15" t="str">
            <v>س13</v>
          </cell>
          <cell r="C15">
            <v>28632</v>
          </cell>
          <cell r="D15" t="str">
            <v>مصرى13</v>
          </cell>
          <cell r="E15" t="str">
            <v>الدلنجات13</v>
          </cell>
          <cell r="F15">
            <v>27805101802446</v>
          </cell>
          <cell r="G15" t="str">
            <v>السلام الاعدادية13</v>
          </cell>
          <cell r="H15" t="str">
            <v>الثالث الاعدادى13</v>
          </cell>
          <cell r="I15" t="str">
            <v>ص13</v>
          </cell>
          <cell r="J15">
            <v>26005101802446</v>
          </cell>
          <cell r="K15" t="str">
            <v>ش المنتزه13</v>
          </cell>
          <cell r="L15">
            <v>1152732720</v>
          </cell>
          <cell r="M15">
            <v>1288402143</v>
          </cell>
          <cell r="N15" t="str">
            <v>كرة القدم13</v>
          </cell>
          <cell r="O15" t="str">
            <v>الجوهرى13</v>
          </cell>
          <cell r="P15">
            <v>80</v>
          </cell>
          <cell r="Q15">
            <v>44013</v>
          </cell>
          <cell r="R15" t="str">
            <v>باص13</v>
          </cell>
        </row>
        <row r="16">
          <cell r="A16">
            <v>1014</v>
          </cell>
          <cell r="B16" t="str">
            <v>س14</v>
          </cell>
          <cell r="C16">
            <v>28633</v>
          </cell>
          <cell r="D16" t="str">
            <v>مصرى14</v>
          </cell>
          <cell r="E16" t="str">
            <v>الدلنجات14</v>
          </cell>
          <cell r="F16">
            <v>27805101802447</v>
          </cell>
          <cell r="G16" t="str">
            <v>السلام الاعدادية14</v>
          </cell>
          <cell r="H16" t="str">
            <v>الثالث الاعدادى14</v>
          </cell>
          <cell r="I16" t="str">
            <v>ص14</v>
          </cell>
          <cell r="J16">
            <v>26005101802447</v>
          </cell>
          <cell r="K16" t="str">
            <v>ش المنتزه14</v>
          </cell>
          <cell r="L16">
            <v>1152732720</v>
          </cell>
          <cell r="M16">
            <v>1288402143</v>
          </cell>
          <cell r="N16" t="str">
            <v>كرة القدم14</v>
          </cell>
          <cell r="O16" t="str">
            <v>الجوهرى14</v>
          </cell>
          <cell r="P16">
            <v>80</v>
          </cell>
          <cell r="Q16">
            <v>44014</v>
          </cell>
          <cell r="R16" t="str">
            <v>باص14</v>
          </cell>
        </row>
        <row r="17">
          <cell r="A17">
            <v>1015</v>
          </cell>
          <cell r="B17" t="str">
            <v>س15</v>
          </cell>
          <cell r="C17">
            <v>28634</v>
          </cell>
          <cell r="D17" t="str">
            <v>مصرى15</v>
          </cell>
          <cell r="E17" t="str">
            <v>الدلنجات15</v>
          </cell>
          <cell r="F17">
            <v>27805101802448</v>
          </cell>
          <cell r="G17" t="str">
            <v>السلام الاعدادية15</v>
          </cell>
          <cell r="H17" t="str">
            <v>الثالث الاعدادى15</v>
          </cell>
          <cell r="I17" t="str">
            <v>ص15</v>
          </cell>
          <cell r="J17">
            <v>26005101802448</v>
          </cell>
          <cell r="K17" t="str">
            <v>ش المنتزه15</v>
          </cell>
          <cell r="L17">
            <v>1152732720</v>
          </cell>
          <cell r="M17">
            <v>1288402143</v>
          </cell>
          <cell r="N17" t="str">
            <v>كرة القدم15</v>
          </cell>
          <cell r="O17" t="str">
            <v>الجوهرى15</v>
          </cell>
          <cell r="P17">
            <v>80</v>
          </cell>
          <cell r="Q17">
            <v>44015</v>
          </cell>
          <cell r="R17" t="str">
            <v>باص15</v>
          </cell>
        </row>
        <row r="18">
          <cell r="A18">
            <v>1016</v>
          </cell>
          <cell r="B18" t="str">
            <v>س16</v>
          </cell>
          <cell r="C18">
            <v>28635</v>
          </cell>
          <cell r="D18" t="str">
            <v>مصرى16</v>
          </cell>
          <cell r="E18" t="str">
            <v>الدلنجات16</v>
          </cell>
          <cell r="F18">
            <v>27805101802449</v>
          </cell>
          <cell r="G18" t="str">
            <v>السلام الاعدادية16</v>
          </cell>
          <cell r="H18" t="str">
            <v>الثالث الاعدادى16</v>
          </cell>
          <cell r="I18" t="str">
            <v>ص16</v>
          </cell>
          <cell r="J18">
            <v>26005101802449</v>
          </cell>
          <cell r="K18" t="str">
            <v>ش المنتزه16</v>
          </cell>
          <cell r="L18">
            <v>1152732720</v>
          </cell>
          <cell r="M18">
            <v>1288402143</v>
          </cell>
          <cell r="N18" t="str">
            <v>كرة القدم16</v>
          </cell>
          <cell r="O18" t="str">
            <v>الجوهرى16</v>
          </cell>
          <cell r="P18">
            <v>80</v>
          </cell>
          <cell r="Q18">
            <v>44016</v>
          </cell>
          <cell r="R18" t="str">
            <v>باص16</v>
          </cell>
        </row>
        <row r="19">
          <cell r="A19">
            <v>1017</v>
          </cell>
          <cell r="B19" t="str">
            <v>س17</v>
          </cell>
          <cell r="C19">
            <v>28636</v>
          </cell>
          <cell r="D19" t="str">
            <v>مصرى17</v>
          </cell>
          <cell r="E19" t="str">
            <v>الدلنجات17</v>
          </cell>
          <cell r="F19">
            <v>27805101802450</v>
          </cell>
          <cell r="G19" t="str">
            <v>السلام الاعدادية17</v>
          </cell>
          <cell r="H19" t="str">
            <v>الثالث الاعدادى17</v>
          </cell>
          <cell r="I19" t="str">
            <v>ص17</v>
          </cell>
          <cell r="J19">
            <v>26005101802450</v>
          </cell>
          <cell r="K19" t="str">
            <v>ش المنتزه17</v>
          </cell>
          <cell r="L19">
            <v>1152732720</v>
          </cell>
          <cell r="M19">
            <v>1288402143</v>
          </cell>
          <cell r="N19" t="str">
            <v>كرة القدم17</v>
          </cell>
          <cell r="O19" t="str">
            <v>الجوهرى17</v>
          </cell>
          <cell r="P19">
            <v>80</v>
          </cell>
          <cell r="Q19">
            <v>44017</v>
          </cell>
          <cell r="R19" t="str">
            <v>باص17</v>
          </cell>
        </row>
        <row r="20">
          <cell r="A20">
            <v>1018</v>
          </cell>
          <cell r="B20" t="str">
            <v>س18</v>
          </cell>
          <cell r="C20">
            <v>28637</v>
          </cell>
          <cell r="D20" t="str">
            <v>مصرى18</v>
          </cell>
          <cell r="E20" t="str">
            <v>الدلنجات18</v>
          </cell>
          <cell r="F20">
            <v>27805101802451</v>
          </cell>
          <cell r="G20" t="str">
            <v>السلام الاعدادية18</v>
          </cell>
          <cell r="H20" t="str">
            <v>الثالث الاعدادى18</v>
          </cell>
          <cell r="I20" t="str">
            <v>ص18</v>
          </cell>
          <cell r="J20">
            <v>26005101802451</v>
          </cell>
          <cell r="K20" t="str">
            <v>ش المنتزه18</v>
          </cell>
          <cell r="L20">
            <v>1152732720</v>
          </cell>
          <cell r="M20">
            <v>1288402143</v>
          </cell>
          <cell r="N20" t="str">
            <v>كرة القدم18</v>
          </cell>
          <cell r="O20" t="str">
            <v>الجوهرى18</v>
          </cell>
          <cell r="P20">
            <v>80</v>
          </cell>
          <cell r="Q20">
            <v>44018</v>
          </cell>
          <cell r="R20" t="str">
            <v>باص18</v>
          </cell>
        </row>
        <row r="21">
          <cell r="A21">
            <v>1019</v>
          </cell>
          <cell r="B21" t="str">
            <v>س19</v>
          </cell>
          <cell r="C21">
            <v>28638</v>
          </cell>
          <cell r="D21" t="str">
            <v>مصرى19</v>
          </cell>
          <cell r="E21" t="str">
            <v>الدلنجات19</v>
          </cell>
          <cell r="F21">
            <v>27805101802452</v>
          </cell>
          <cell r="G21" t="str">
            <v>السلام الاعدادية19</v>
          </cell>
          <cell r="H21" t="str">
            <v>الثالث الاعدادى19</v>
          </cell>
          <cell r="I21" t="str">
            <v>ص19</v>
          </cell>
          <cell r="J21">
            <v>26005101802452</v>
          </cell>
          <cell r="K21" t="str">
            <v>ش المنتزه19</v>
          </cell>
          <cell r="L21">
            <v>1152732720</v>
          </cell>
          <cell r="M21">
            <v>1288402143</v>
          </cell>
          <cell r="N21" t="str">
            <v>كرة القدم19</v>
          </cell>
          <cell r="O21" t="str">
            <v>الجوهرى19</v>
          </cell>
          <cell r="P21">
            <v>80</v>
          </cell>
          <cell r="Q21">
            <v>44019</v>
          </cell>
          <cell r="R21" t="str">
            <v>باص19</v>
          </cell>
        </row>
        <row r="22">
          <cell r="A22">
            <v>1020</v>
          </cell>
          <cell r="B22" t="str">
            <v>س20</v>
          </cell>
          <cell r="C22">
            <v>28639</v>
          </cell>
          <cell r="D22" t="str">
            <v>مصرى20</v>
          </cell>
          <cell r="E22" t="str">
            <v>الدلنجات20</v>
          </cell>
          <cell r="F22">
            <v>27805101802453</v>
          </cell>
          <cell r="G22" t="str">
            <v>السلام الاعدادية20</v>
          </cell>
          <cell r="H22" t="str">
            <v>الثالث الاعدادى20</v>
          </cell>
          <cell r="I22" t="str">
            <v>ص20</v>
          </cell>
          <cell r="J22">
            <v>26005101802453</v>
          </cell>
          <cell r="K22" t="str">
            <v>ش المنتزه20</v>
          </cell>
          <cell r="L22">
            <v>1152732720</v>
          </cell>
          <cell r="M22">
            <v>1288402143</v>
          </cell>
          <cell r="N22" t="str">
            <v>كرة القدم20</v>
          </cell>
          <cell r="O22" t="str">
            <v>الجوهرى20</v>
          </cell>
          <cell r="P22">
            <v>80</v>
          </cell>
          <cell r="Q22">
            <v>44020</v>
          </cell>
          <cell r="R22" t="str">
            <v>باص20</v>
          </cell>
        </row>
        <row r="23">
          <cell r="A23">
            <v>1021</v>
          </cell>
          <cell r="B23" t="str">
            <v>س21</v>
          </cell>
          <cell r="C23">
            <v>28640</v>
          </cell>
          <cell r="D23" t="str">
            <v>مصرى21</v>
          </cell>
          <cell r="E23" t="str">
            <v>الدلنجات21</v>
          </cell>
          <cell r="F23">
            <v>27805101802454</v>
          </cell>
          <cell r="G23" t="str">
            <v>السلام الاعدادية21</v>
          </cell>
          <cell r="H23" t="str">
            <v>الثالث الاعدادى21</v>
          </cell>
          <cell r="I23" t="str">
            <v>ص21</v>
          </cell>
          <cell r="J23">
            <v>26005101802454</v>
          </cell>
          <cell r="K23" t="str">
            <v>ش المنتزه21</v>
          </cell>
          <cell r="L23">
            <v>1152732720</v>
          </cell>
          <cell r="M23">
            <v>1288402143</v>
          </cell>
          <cell r="N23" t="str">
            <v>كرة القدم21</v>
          </cell>
          <cell r="O23" t="str">
            <v>الجوهرى21</v>
          </cell>
          <cell r="P23">
            <v>80</v>
          </cell>
          <cell r="Q23">
            <v>44021</v>
          </cell>
          <cell r="R23" t="str">
            <v>باص21</v>
          </cell>
        </row>
        <row r="24">
          <cell r="A24">
            <v>1022</v>
          </cell>
          <cell r="B24" t="str">
            <v>س22</v>
          </cell>
          <cell r="C24">
            <v>28641</v>
          </cell>
          <cell r="D24" t="str">
            <v>مصرى22</v>
          </cell>
          <cell r="E24" t="str">
            <v>الدلنجات22</v>
          </cell>
          <cell r="F24">
            <v>27805101802455</v>
          </cell>
          <cell r="G24" t="str">
            <v>السلام الاعدادية22</v>
          </cell>
          <cell r="H24" t="str">
            <v>الثالث الاعدادى22</v>
          </cell>
          <cell r="I24" t="str">
            <v>ص22</v>
          </cell>
          <cell r="J24">
            <v>26005101802455</v>
          </cell>
          <cell r="K24" t="str">
            <v>ش المنتزه22</v>
          </cell>
          <cell r="L24">
            <v>1152732720</v>
          </cell>
          <cell r="M24">
            <v>1288402143</v>
          </cell>
          <cell r="N24" t="str">
            <v>كرة القدم22</v>
          </cell>
          <cell r="O24" t="str">
            <v>الجوهرى22</v>
          </cell>
          <cell r="P24">
            <v>80</v>
          </cell>
          <cell r="Q24">
            <v>44022</v>
          </cell>
          <cell r="R24" t="str">
            <v>باص22</v>
          </cell>
        </row>
        <row r="25">
          <cell r="A25">
            <v>1023</v>
          </cell>
          <cell r="B25" t="str">
            <v>س23</v>
          </cell>
          <cell r="C25">
            <v>28642</v>
          </cell>
          <cell r="D25" t="str">
            <v>مصرى23</v>
          </cell>
          <cell r="E25" t="str">
            <v>الدلنجات23</v>
          </cell>
          <cell r="F25">
            <v>27805101802456</v>
          </cell>
          <cell r="G25" t="str">
            <v>السلام الاعدادية23</v>
          </cell>
          <cell r="H25" t="str">
            <v>الثالث الاعدادى23</v>
          </cell>
          <cell r="I25" t="str">
            <v>ص23</v>
          </cell>
          <cell r="J25">
            <v>26005101802456</v>
          </cell>
          <cell r="K25" t="str">
            <v>ش المنتزه23</v>
          </cell>
          <cell r="L25">
            <v>1152732720</v>
          </cell>
          <cell r="M25">
            <v>1288402143</v>
          </cell>
          <cell r="N25" t="str">
            <v>كرة القدم23</v>
          </cell>
          <cell r="O25" t="str">
            <v>الجوهرى23</v>
          </cell>
          <cell r="P25">
            <v>80</v>
          </cell>
          <cell r="Q25">
            <v>44023</v>
          </cell>
          <cell r="R25" t="str">
            <v>باص23</v>
          </cell>
        </row>
        <row r="26">
          <cell r="A26">
            <v>1024</v>
          </cell>
          <cell r="B26" t="str">
            <v>س24</v>
          </cell>
          <cell r="C26">
            <v>28643</v>
          </cell>
          <cell r="D26" t="str">
            <v>مصرى24</v>
          </cell>
          <cell r="E26" t="str">
            <v>الدلنجات24</v>
          </cell>
          <cell r="F26">
            <v>27805101802457</v>
          </cell>
          <cell r="G26" t="str">
            <v>السلام الاعدادية24</v>
          </cell>
          <cell r="H26" t="str">
            <v>الثالث الاعدادى24</v>
          </cell>
          <cell r="I26" t="str">
            <v>ص24</v>
          </cell>
          <cell r="J26">
            <v>26005101802457</v>
          </cell>
          <cell r="K26" t="str">
            <v>ش المنتزه24</v>
          </cell>
          <cell r="L26">
            <v>1152732720</v>
          </cell>
          <cell r="M26">
            <v>1288402143</v>
          </cell>
          <cell r="N26" t="str">
            <v>كرة القدم24</v>
          </cell>
          <cell r="O26" t="str">
            <v>الجوهرى24</v>
          </cell>
          <cell r="P26">
            <v>80</v>
          </cell>
          <cell r="Q26">
            <v>44024</v>
          </cell>
          <cell r="R26" t="str">
            <v>باص24</v>
          </cell>
        </row>
        <row r="27">
          <cell r="A27">
            <v>1025</v>
          </cell>
          <cell r="B27" t="str">
            <v>س25</v>
          </cell>
          <cell r="C27">
            <v>28644</v>
          </cell>
          <cell r="D27" t="str">
            <v>مصرى25</v>
          </cell>
          <cell r="E27" t="str">
            <v>الدلنجات25</v>
          </cell>
          <cell r="F27">
            <v>27805101802458</v>
          </cell>
          <cell r="G27" t="str">
            <v>السلام الاعدادية25</v>
          </cell>
          <cell r="H27" t="str">
            <v>الثالث الاعدادى25</v>
          </cell>
          <cell r="I27" t="str">
            <v>ص25</v>
          </cell>
          <cell r="J27">
            <v>26005101802458</v>
          </cell>
          <cell r="K27" t="str">
            <v>ش المنتزه25</v>
          </cell>
          <cell r="L27">
            <v>1152732720</v>
          </cell>
          <cell r="M27">
            <v>1288402143</v>
          </cell>
          <cell r="N27" t="str">
            <v>كرة القدم25</v>
          </cell>
          <cell r="O27" t="str">
            <v>الجوهرى25</v>
          </cell>
          <cell r="P27">
            <v>80</v>
          </cell>
          <cell r="Q27">
            <v>44025</v>
          </cell>
          <cell r="R27" t="str">
            <v>باص25</v>
          </cell>
        </row>
        <row r="28">
          <cell r="A28">
            <v>1026</v>
          </cell>
          <cell r="B28" t="str">
            <v>س26</v>
          </cell>
          <cell r="C28">
            <v>28645</v>
          </cell>
          <cell r="D28" t="str">
            <v>مصرى26</v>
          </cell>
          <cell r="E28" t="str">
            <v>الدلنجات26</v>
          </cell>
          <cell r="F28">
            <v>27805101802459</v>
          </cell>
          <cell r="G28" t="str">
            <v>السلام الاعدادية26</v>
          </cell>
          <cell r="H28" t="str">
            <v>الثالث الاعدادى26</v>
          </cell>
          <cell r="I28" t="str">
            <v>ص26</v>
          </cell>
          <cell r="J28">
            <v>26005101802459</v>
          </cell>
          <cell r="K28" t="str">
            <v>ش المنتزه26</v>
          </cell>
          <cell r="L28">
            <v>1152732720</v>
          </cell>
          <cell r="M28">
            <v>1288402143</v>
          </cell>
          <cell r="N28" t="str">
            <v>كرة القدم26</v>
          </cell>
          <cell r="O28" t="str">
            <v>الجوهرى26</v>
          </cell>
          <cell r="P28">
            <v>80</v>
          </cell>
          <cell r="Q28">
            <v>44026</v>
          </cell>
          <cell r="R28" t="str">
            <v>باص26</v>
          </cell>
        </row>
        <row r="29">
          <cell r="A29">
            <v>1027</v>
          </cell>
          <cell r="B29" t="str">
            <v>س27</v>
          </cell>
          <cell r="C29">
            <v>28646</v>
          </cell>
          <cell r="D29" t="str">
            <v>مصرى27</v>
          </cell>
          <cell r="E29" t="str">
            <v>الدلنجات27</v>
          </cell>
          <cell r="F29">
            <v>27805101802460</v>
          </cell>
          <cell r="G29" t="str">
            <v>السلام الاعدادية27</v>
          </cell>
          <cell r="H29" t="str">
            <v>الثالث الاعدادى27</v>
          </cell>
          <cell r="I29" t="str">
            <v>ص27</v>
          </cell>
          <cell r="J29">
            <v>26005101802460</v>
          </cell>
          <cell r="K29" t="str">
            <v>ش المنتزه27</v>
          </cell>
          <cell r="L29">
            <v>1152732720</v>
          </cell>
          <cell r="M29">
            <v>1288402143</v>
          </cell>
          <cell r="N29" t="str">
            <v>كرة القدم27</v>
          </cell>
          <cell r="O29" t="str">
            <v>الجوهرى27</v>
          </cell>
          <cell r="P29">
            <v>80</v>
          </cell>
          <cell r="Q29">
            <v>44027</v>
          </cell>
          <cell r="R29" t="str">
            <v>باص27</v>
          </cell>
        </row>
        <row r="30">
          <cell r="A30">
            <v>1028</v>
          </cell>
          <cell r="B30" t="str">
            <v>س28</v>
          </cell>
          <cell r="C30">
            <v>28647</v>
          </cell>
          <cell r="D30" t="str">
            <v>مصرى28</v>
          </cell>
          <cell r="E30" t="str">
            <v>الدلنجات28</v>
          </cell>
          <cell r="F30">
            <v>27805101802461</v>
          </cell>
          <cell r="G30" t="str">
            <v>السلام الاعدادية28</v>
          </cell>
          <cell r="H30" t="str">
            <v>الثالث الاعدادى28</v>
          </cell>
          <cell r="I30" t="str">
            <v>ص28</v>
          </cell>
          <cell r="J30">
            <v>26005101802461</v>
          </cell>
          <cell r="K30" t="str">
            <v>ش المنتزه28</v>
          </cell>
          <cell r="L30">
            <v>1152732720</v>
          </cell>
          <cell r="M30">
            <v>1288402143</v>
          </cell>
          <cell r="N30" t="str">
            <v>كرة القدم28</v>
          </cell>
          <cell r="O30" t="str">
            <v>الجوهرى28</v>
          </cell>
          <cell r="P30">
            <v>80</v>
          </cell>
          <cell r="Q30">
            <v>44028</v>
          </cell>
          <cell r="R30" t="str">
            <v>باص28</v>
          </cell>
        </row>
        <row r="31">
          <cell r="A31">
            <v>1029</v>
          </cell>
          <cell r="B31" t="str">
            <v>س29</v>
          </cell>
          <cell r="C31">
            <v>28648</v>
          </cell>
          <cell r="D31" t="str">
            <v>مصرى29</v>
          </cell>
          <cell r="E31" t="str">
            <v>الدلنجات29</v>
          </cell>
          <cell r="F31">
            <v>27805101802462</v>
          </cell>
          <cell r="G31" t="str">
            <v>السلام الاعدادية29</v>
          </cell>
          <cell r="H31" t="str">
            <v>الثالث الاعدادى29</v>
          </cell>
          <cell r="I31" t="str">
            <v>ص29</v>
          </cell>
          <cell r="J31">
            <v>26005101802462</v>
          </cell>
          <cell r="K31" t="str">
            <v>ش المنتزه29</v>
          </cell>
          <cell r="L31">
            <v>1152732720</v>
          </cell>
          <cell r="M31">
            <v>1288402143</v>
          </cell>
          <cell r="N31" t="str">
            <v>كرة القدم29</v>
          </cell>
          <cell r="O31" t="str">
            <v>الجوهرى29</v>
          </cell>
          <cell r="P31">
            <v>80</v>
          </cell>
          <cell r="Q31">
            <v>44029</v>
          </cell>
          <cell r="R31" t="str">
            <v>باص29</v>
          </cell>
        </row>
        <row r="32">
          <cell r="A32">
            <v>1030</v>
          </cell>
          <cell r="B32" t="str">
            <v>س30</v>
          </cell>
          <cell r="C32">
            <v>28649</v>
          </cell>
          <cell r="D32" t="str">
            <v>مصرى30</v>
          </cell>
          <cell r="E32" t="str">
            <v>الدلنجات30</v>
          </cell>
          <cell r="F32">
            <v>27805101802463</v>
          </cell>
          <cell r="G32" t="str">
            <v>السلام الاعدادية30</v>
          </cell>
          <cell r="H32" t="str">
            <v>الثالث الاعدادى30</v>
          </cell>
          <cell r="I32" t="str">
            <v>ص30</v>
          </cell>
          <cell r="J32">
            <v>26005101802463</v>
          </cell>
          <cell r="K32" t="str">
            <v>ش المنتزه30</v>
          </cell>
          <cell r="L32">
            <v>1152732720</v>
          </cell>
          <cell r="M32">
            <v>1288402143</v>
          </cell>
          <cell r="N32" t="str">
            <v>كرة القدم30</v>
          </cell>
          <cell r="O32" t="str">
            <v>الجوهرى30</v>
          </cell>
          <cell r="P32">
            <v>80</v>
          </cell>
          <cell r="Q32">
            <v>44030</v>
          </cell>
          <cell r="R32" t="str">
            <v>باص30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مخزن"/>
      <sheetName val="ادخال أدوية"/>
      <sheetName val="حركة الدواء"/>
    </sheetNames>
    <sheetDataSet>
      <sheetData sheetId="0">
        <row r="6">
          <cell r="C6" t="str">
            <v>يوناسين 750 فيال</v>
          </cell>
        </row>
        <row r="7">
          <cell r="C7" t="str">
            <v>أمكين 100</v>
          </cell>
        </row>
        <row r="8">
          <cell r="C8" t="str">
            <v>ماكسبيم 500</v>
          </cell>
        </row>
        <row r="9">
          <cell r="C9" t="str">
            <v>سيفزيم 500 مجم</v>
          </cell>
        </row>
        <row r="10">
          <cell r="C10" t="str">
            <v>فاركولين محلول</v>
          </cell>
        </row>
        <row r="11">
          <cell r="C11" t="str">
            <v>بيسلفون</v>
          </cell>
        </row>
        <row r="12">
          <cell r="C12" t="str">
            <v>ثايمثكون</v>
          </cell>
        </row>
        <row r="13">
          <cell r="C13" t="str">
            <v>لازكس 20 مجم</v>
          </cell>
        </row>
        <row r="14">
          <cell r="C14" t="str">
            <v>سيبروفلوكاسين محلول</v>
          </cell>
        </row>
        <row r="15">
          <cell r="C15" t="str">
            <v>ميرونام 500</v>
          </cell>
        </row>
        <row r="16">
          <cell r="C16" t="str">
            <v>فلوكتوبار محلول</v>
          </cell>
        </row>
        <row r="17">
          <cell r="C17" t="str">
            <v>أمينوفينس محلول100مللى</v>
          </cell>
        </row>
        <row r="18">
          <cell r="C18" t="str">
            <v>جنتاميسين 40 مجم أ</v>
          </cell>
        </row>
        <row r="19">
          <cell r="C19" t="str">
            <v>زيسروماكس 60 مجم</v>
          </cell>
        </row>
        <row r="20">
          <cell r="C20" t="str">
            <v>يوناسين شراب</v>
          </cell>
        </row>
        <row r="21">
          <cell r="C21" t="str">
            <v xml:space="preserve">دروميكم </v>
          </cell>
        </row>
        <row r="22">
          <cell r="C22" t="str">
            <v>هيبارين أ</v>
          </cell>
        </row>
        <row r="23">
          <cell r="C23" t="str">
            <v xml:space="preserve">دالاسين أ </v>
          </cell>
        </row>
        <row r="24">
          <cell r="C24" t="str">
            <v>دينار شراب</v>
          </cell>
        </row>
        <row r="25">
          <cell r="C25" t="str">
            <v>موتينورم شراب</v>
          </cell>
        </row>
        <row r="26">
          <cell r="C26" t="str">
            <v>أنتينال شراب</v>
          </cell>
        </row>
        <row r="27">
          <cell r="C27" t="str">
            <v>ميبو كريم</v>
          </cell>
        </row>
        <row r="28">
          <cell r="C28" t="str">
            <v xml:space="preserve">هيموكلار كريم </v>
          </cell>
        </row>
        <row r="29">
          <cell r="C29" t="str">
            <v>محلول 5 %</v>
          </cell>
        </row>
        <row r="30">
          <cell r="C30" t="str">
            <v xml:space="preserve">محلول 10 % </v>
          </cell>
        </row>
        <row r="31">
          <cell r="C31" t="str">
            <v>محلول 25 %</v>
          </cell>
        </row>
        <row r="32">
          <cell r="C32" t="str">
            <v>محلول ملح</v>
          </cell>
        </row>
        <row r="33">
          <cell r="C33" t="str">
            <v>محلول نيومنت</v>
          </cell>
        </row>
        <row r="34">
          <cell r="C34" t="str">
            <v>بوتاسيوم أ</v>
          </cell>
        </row>
        <row r="35">
          <cell r="C35" t="str">
            <v xml:space="preserve">أدرينالين أ </v>
          </cell>
        </row>
        <row r="36">
          <cell r="C36" t="str">
            <v xml:space="preserve">كالسيوم أ </v>
          </cell>
        </row>
        <row r="37">
          <cell r="C37" t="str">
            <v>إيبانوثين أ ( فينتولبت)</v>
          </cell>
        </row>
        <row r="38">
          <cell r="C38" t="str">
            <v xml:space="preserve">فنتانيل أ </v>
          </cell>
        </row>
        <row r="39">
          <cell r="C39" t="str">
            <v xml:space="preserve">فانكو مايسين 500 فيال </v>
          </cell>
        </row>
        <row r="40">
          <cell r="C40" t="str">
            <v>شريط سكر( بيونيم )</v>
          </cell>
        </row>
        <row r="41">
          <cell r="C41" t="str">
            <v>سيفزيم 1 جم</v>
          </cell>
        </row>
        <row r="42">
          <cell r="C42" t="str">
            <v>كوناكيون</v>
          </cell>
        </row>
        <row r="43">
          <cell r="C43" t="str">
            <v>أمينوفينس محلول500مللى</v>
          </cell>
        </row>
        <row r="44">
          <cell r="C44" t="str">
            <v>يوناسين 250 بودرة</v>
          </cell>
        </row>
        <row r="45">
          <cell r="C45" t="str">
            <v>جلسرين</v>
          </cell>
        </row>
        <row r="46">
          <cell r="C46" t="str">
            <v>دورميكم 0</v>
          </cell>
        </row>
        <row r="47">
          <cell r="C47" t="str">
            <v>بامبرز 0</v>
          </cell>
        </row>
        <row r="48">
          <cell r="C48" t="str">
            <v xml:space="preserve">بامبرز </v>
          </cell>
        </row>
        <row r="49">
          <cell r="C49" t="str">
            <v>توبرين</v>
          </cell>
        </row>
        <row r="50">
          <cell r="C50" t="str">
            <v>شامبو جونسون</v>
          </cell>
        </row>
        <row r="51">
          <cell r="C51" t="str">
            <v>روفاسبت (سبراى سرة )</v>
          </cell>
        </row>
        <row r="52">
          <cell r="C52" t="str">
            <v>مذيب للاشربة</v>
          </cell>
        </row>
        <row r="53">
          <cell r="C53" t="str">
            <v>يوناسين 750 فيال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 /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 /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 /><Relationship Id="rId1" Type="http://schemas.openxmlformats.org/officeDocument/2006/relationships/printerSettings" Target="../printerSettings/printerSettings9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3"/>
  <sheetViews>
    <sheetView rightToLeft="1" view="pageBreakPreview" zoomScale="130" zoomScaleNormal="100" zoomScaleSheetLayoutView="130" workbookViewId="0">
      <selection activeCell="B2" sqref="B2:G2"/>
    </sheetView>
  </sheetViews>
  <sheetFormatPr defaultRowHeight="13.5"/>
  <cols>
    <col min="1" max="1" width="4.71875" customWidth="1"/>
    <col min="2" max="2" width="5.390625" style="122" customWidth="1"/>
    <col min="3" max="3" width="7.01171875" style="150" customWidth="1"/>
    <col min="4" max="4" width="7.28125" customWidth="1"/>
    <col min="5" max="5" width="7.8203125" customWidth="1"/>
    <col min="6" max="6" width="7.01171875" customWidth="1"/>
    <col min="7" max="7" width="5.93359375" customWidth="1"/>
  </cols>
  <sheetData>
    <row r="1" spans="2:7" ht="12.75">
      <c r="B1" s="134">
        <v>1</v>
      </c>
      <c r="C1" s="149">
        <v>2</v>
      </c>
      <c r="D1" s="134">
        <v>3</v>
      </c>
      <c r="E1" s="134">
        <v>4</v>
      </c>
      <c r="F1" s="134">
        <v>5</v>
      </c>
      <c r="G1" s="134">
        <v>5</v>
      </c>
    </row>
    <row r="2" spans="2:7" ht="21" customHeight="1">
      <c r="B2" s="156" t="s">
        <v>47</v>
      </c>
      <c r="C2" s="157" t="s">
        <v>43</v>
      </c>
      <c r="D2" s="157" t="s">
        <v>44</v>
      </c>
      <c r="E2" s="157" t="s">
        <v>45</v>
      </c>
      <c r="F2" s="157" t="s">
        <v>19</v>
      </c>
      <c r="G2" s="157" t="s">
        <v>46</v>
      </c>
    </row>
    <row r="3" spans="2:7" ht="12.75">
      <c r="B3" s="151">
        <v>5</v>
      </c>
      <c r="C3" s="147">
        <v>250</v>
      </c>
      <c r="D3" s="154">
        <v>100</v>
      </c>
      <c r="E3" s="154">
        <v>300</v>
      </c>
      <c r="F3" s="154">
        <v>1200</v>
      </c>
      <c r="G3" s="154">
        <v>500</v>
      </c>
    </row>
    <row r="4" spans="2:7" ht="12.75">
      <c r="B4" s="151">
        <v>6</v>
      </c>
      <c r="C4" s="147">
        <v>250</v>
      </c>
      <c r="D4" s="154">
        <v>100</v>
      </c>
      <c r="E4" s="154">
        <v>300</v>
      </c>
      <c r="F4" s="154">
        <v>1200</v>
      </c>
      <c r="G4" s="154">
        <v>500</v>
      </c>
    </row>
    <row r="5" spans="2:7" ht="12.75">
      <c r="B5" s="151">
        <v>7</v>
      </c>
      <c r="C5" s="147">
        <v>250</v>
      </c>
      <c r="D5" s="154">
        <v>100</v>
      </c>
      <c r="E5" s="154">
        <v>300</v>
      </c>
      <c r="F5" s="154">
        <v>1200</v>
      </c>
      <c r="G5" s="154">
        <v>500</v>
      </c>
    </row>
    <row r="6" spans="2:7" ht="12.75">
      <c r="B6" s="152">
        <v>8</v>
      </c>
      <c r="C6" s="147">
        <v>250</v>
      </c>
      <c r="D6" s="154">
        <v>100</v>
      </c>
      <c r="E6" s="154">
        <v>300</v>
      </c>
      <c r="F6" s="154">
        <v>1200</v>
      </c>
      <c r="G6" s="154">
        <v>500</v>
      </c>
    </row>
    <row r="7" spans="2:7" ht="12.75">
      <c r="B7" s="152">
        <v>9</v>
      </c>
      <c r="C7" s="147">
        <v>250</v>
      </c>
      <c r="D7" s="154">
        <v>100</v>
      </c>
      <c r="E7" s="154">
        <v>300</v>
      </c>
      <c r="F7" s="154">
        <v>1200</v>
      </c>
      <c r="G7" s="154">
        <v>500</v>
      </c>
    </row>
    <row r="8" spans="2:7" ht="12.75">
      <c r="B8" s="152">
        <v>10</v>
      </c>
      <c r="C8" s="147">
        <v>250</v>
      </c>
      <c r="D8" s="154">
        <v>100</v>
      </c>
      <c r="E8" s="154">
        <v>300</v>
      </c>
      <c r="F8" s="154">
        <v>1200</v>
      </c>
      <c r="G8" s="154">
        <v>500</v>
      </c>
    </row>
    <row r="9" spans="2:7" ht="12.75">
      <c r="B9" s="152">
        <v>11</v>
      </c>
      <c r="C9" s="147">
        <v>250</v>
      </c>
      <c r="D9" s="154">
        <v>100</v>
      </c>
      <c r="E9" s="154">
        <v>300</v>
      </c>
      <c r="F9" s="154">
        <v>1200</v>
      </c>
      <c r="G9" s="154">
        <v>500</v>
      </c>
    </row>
    <row r="10" spans="2:7" ht="12.75">
      <c r="B10" s="152">
        <v>12</v>
      </c>
      <c r="C10" s="147">
        <v>250</v>
      </c>
      <c r="D10" s="154">
        <v>100</v>
      </c>
      <c r="E10" s="154">
        <v>300</v>
      </c>
      <c r="F10" s="154">
        <v>1200</v>
      </c>
      <c r="G10" s="154">
        <v>500</v>
      </c>
    </row>
    <row r="11" spans="2:7" ht="12.75">
      <c r="B11" s="152">
        <v>13</v>
      </c>
      <c r="C11" s="147">
        <v>250</v>
      </c>
      <c r="D11" s="154">
        <v>100</v>
      </c>
      <c r="E11" s="154">
        <v>300</v>
      </c>
      <c r="F11" s="154">
        <v>1200</v>
      </c>
      <c r="G11" s="154">
        <v>500</v>
      </c>
    </row>
    <row r="12" spans="2:7" ht="12.75">
      <c r="B12" s="152">
        <v>14</v>
      </c>
      <c r="C12" s="147">
        <v>250</v>
      </c>
      <c r="D12" s="154">
        <v>100</v>
      </c>
      <c r="E12" s="154">
        <v>300</v>
      </c>
      <c r="F12" s="154">
        <v>1200</v>
      </c>
      <c r="G12" s="154">
        <v>500</v>
      </c>
    </row>
    <row r="13" spans="2:7" ht="12.75">
      <c r="B13" s="153">
        <v>15</v>
      </c>
      <c r="C13" s="148">
        <v>250</v>
      </c>
      <c r="D13" s="154">
        <v>100</v>
      </c>
      <c r="E13" s="155">
        <v>300</v>
      </c>
      <c r="F13" s="155">
        <v>1200</v>
      </c>
      <c r="G13" s="155">
        <v>500</v>
      </c>
    </row>
    <row r="14" spans="2:7" ht="12.75">
      <c r="B14" s="152">
        <v>16</v>
      </c>
      <c r="C14" s="147">
        <v>300</v>
      </c>
      <c r="D14" s="154">
        <v>100</v>
      </c>
      <c r="E14" s="154">
        <v>400</v>
      </c>
      <c r="F14" s="154">
        <v>1700</v>
      </c>
      <c r="G14" s="154">
        <v>750</v>
      </c>
    </row>
    <row r="15" spans="2:7" ht="12.75">
      <c r="B15" s="152">
        <v>17</v>
      </c>
      <c r="C15" s="147">
        <v>300</v>
      </c>
      <c r="D15" s="154">
        <v>100</v>
      </c>
      <c r="E15" s="154">
        <v>400</v>
      </c>
      <c r="F15" s="154">
        <v>1700</v>
      </c>
      <c r="G15" s="154">
        <v>750</v>
      </c>
    </row>
    <row r="16" spans="2:7" ht="12.75">
      <c r="B16" s="152">
        <v>18</v>
      </c>
      <c r="C16" s="147">
        <v>300</v>
      </c>
      <c r="D16" s="154">
        <v>100</v>
      </c>
      <c r="E16" s="154">
        <v>400</v>
      </c>
      <c r="F16" s="154">
        <v>1700</v>
      </c>
      <c r="G16" s="154">
        <v>750</v>
      </c>
    </row>
    <row r="17" spans="2:7" ht="12.75">
      <c r="B17" s="152">
        <v>19</v>
      </c>
      <c r="C17" s="147">
        <v>300</v>
      </c>
      <c r="D17" s="154">
        <v>100</v>
      </c>
      <c r="E17" s="154">
        <v>400</v>
      </c>
      <c r="F17" s="154">
        <v>1700</v>
      </c>
      <c r="G17" s="154">
        <v>750</v>
      </c>
    </row>
    <row r="18" spans="2:7" ht="12.75">
      <c r="B18" s="153">
        <v>20</v>
      </c>
      <c r="C18" s="148">
        <v>300</v>
      </c>
      <c r="D18" s="155">
        <v>100</v>
      </c>
      <c r="E18" s="155">
        <v>400</v>
      </c>
      <c r="F18" s="155">
        <v>1700</v>
      </c>
      <c r="G18" s="154">
        <v>750</v>
      </c>
    </row>
    <row r="19" spans="2:7" ht="12.75">
      <c r="B19" s="152">
        <v>21</v>
      </c>
      <c r="C19" s="147">
        <v>350</v>
      </c>
      <c r="D19" s="154">
        <v>150</v>
      </c>
      <c r="E19" s="154">
        <v>500</v>
      </c>
      <c r="F19" s="154">
        <v>2500</v>
      </c>
      <c r="G19" s="154">
        <v>750</v>
      </c>
    </row>
    <row r="20" spans="2:7" ht="12.75">
      <c r="B20" s="153">
        <v>22</v>
      </c>
      <c r="C20" s="148">
        <v>350</v>
      </c>
      <c r="D20" s="154">
        <v>150</v>
      </c>
      <c r="E20" s="154">
        <v>500</v>
      </c>
      <c r="F20" s="154">
        <v>2500</v>
      </c>
      <c r="G20" s="154">
        <v>750</v>
      </c>
    </row>
    <row r="21" spans="2:7" ht="12.75">
      <c r="B21" s="152">
        <v>23</v>
      </c>
      <c r="C21" s="147">
        <v>500</v>
      </c>
      <c r="D21" s="154">
        <v>150</v>
      </c>
      <c r="E21" s="154">
        <v>500</v>
      </c>
      <c r="F21" s="154">
        <v>2500</v>
      </c>
      <c r="G21" s="154">
        <v>750</v>
      </c>
    </row>
    <row r="22" spans="2:7" ht="12.75">
      <c r="B22" s="152">
        <v>24</v>
      </c>
      <c r="C22" s="147">
        <v>500</v>
      </c>
      <c r="D22" s="154">
        <v>150</v>
      </c>
      <c r="E22" s="154">
        <v>500</v>
      </c>
      <c r="F22" s="154">
        <v>2500</v>
      </c>
      <c r="G22" s="154">
        <v>750</v>
      </c>
    </row>
    <row r="23" spans="2:7" ht="12.75">
      <c r="B23" s="153">
        <v>25</v>
      </c>
      <c r="C23" s="148">
        <v>500</v>
      </c>
      <c r="D23" s="155">
        <v>150</v>
      </c>
      <c r="E23" s="155">
        <v>500</v>
      </c>
      <c r="F23" s="155">
        <v>2500</v>
      </c>
      <c r="G23" s="155">
        <v>750</v>
      </c>
    </row>
    <row r="24" spans="2:7" ht="12.75">
      <c r="B24" s="152">
        <v>26</v>
      </c>
      <c r="C24" s="147">
        <v>600</v>
      </c>
      <c r="D24" s="154">
        <v>200</v>
      </c>
      <c r="E24" s="154">
        <v>600</v>
      </c>
      <c r="F24" s="154">
        <v>3350</v>
      </c>
      <c r="G24" s="154">
        <v>1000</v>
      </c>
    </row>
    <row r="25" spans="2:7" ht="12.75">
      <c r="B25" s="152">
        <v>27</v>
      </c>
      <c r="C25" s="147">
        <v>600</v>
      </c>
      <c r="D25" s="154">
        <v>200</v>
      </c>
      <c r="E25" s="154">
        <v>600</v>
      </c>
      <c r="F25" s="154">
        <v>3350</v>
      </c>
      <c r="G25" s="154">
        <v>1000</v>
      </c>
    </row>
    <row r="26" spans="2:7" ht="12.75">
      <c r="B26" s="152">
        <v>28</v>
      </c>
      <c r="C26" s="147">
        <v>600</v>
      </c>
      <c r="D26" s="154">
        <v>200</v>
      </c>
      <c r="E26" s="154">
        <v>600</v>
      </c>
      <c r="F26" s="154">
        <v>3350</v>
      </c>
      <c r="G26" s="154">
        <v>1000</v>
      </c>
    </row>
    <row r="27" spans="2:7" ht="12.75">
      <c r="B27" s="152">
        <v>29</v>
      </c>
      <c r="C27" s="147">
        <v>600</v>
      </c>
      <c r="D27" s="154">
        <v>200</v>
      </c>
      <c r="E27" s="154">
        <v>600</v>
      </c>
      <c r="F27" s="154">
        <v>3350</v>
      </c>
      <c r="G27" s="154">
        <v>1000</v>
      </c>
    </row>
    <row r="28" spans="2:7" ht="12.75">
      <c r="B28" s="152">
        <v>30</v>
      </c>
      <c r="C28" s="147">
        <v>600</v>
      </c>
      <c r="D28" s="155">
        <v>200</v>
      </c>
      <c r="E28" s="155">
        <v>600</v>
      </c>
      <c r="F28" s="155">
        <v>3350</v>
      </c>
      <c r="G28" s="155">
        <v>1000</v>
      </c>
    </row>
    <row r="29" spans="2:7" ht="12.75">
      <c r="B29" s="153">
        <v>31</v>
      </c>
      <c r="C29" s="148">
        <v>650</v>
      </c>
      <c r="D29" s="154">
        <v>250</v>
      </c>
      <c r="E29" s="154">
        <v>700</v>
      </c>
      <c r="F29" s="154">
        <v>4200</v>
      </c>
      <c r="G29" s="154">
        <v>1250</v>
      </c>
    </row>
    <row r="30" spans="2:7" ht="12.75">
      <c r="B30" s="152">
        <v>32</v>
      </c>
      <c r="C30" s="147">
        <v>650</v>
      </c>
      <c r="D30" s="154">
        <v>250</v>
      </c>
      <c r="E30" s="154">
        <v>700</v>
      </c>
      <c r="F30" s="154">
        <v>4200</v>
      </c>
      <c r="G30" s="154">
        <v>1250</v>
      </c>
    </row>
    <row r="31" spans="2:7" ht="12.75">
      <c r="B31" s="152">
        <v>33</v>
      </c>
      <c r="C31" s="147">
        <v>650</v>
      </c>
      <c r="D31" s="154">
        <v>250</v>
      </c>
      <c r="E31" s="154">
        <v>700</v>
      </c>
      <c r="F31" s="154">
        <v>4200</v>
      </c>
      <c r="G31" s="154">
        <v>1250</v>
      </c>
    </row>
    <row r="32" spans="2:7" ht="12.75">
      <c r="B32" s="152">
        <v>34</v>
      </c>
      <c r="C32" s="147">
        <v>650</v>
      </c>
      <c r="D32" s="154">
        <v>250</v>
      </c>
      <c r="E32" s="154">
        <v>700</v>
      </c>
      <c r="F32" s="154">
        <v>4200</v>
      </c>
      <c r="G32" s="154">
        <v>1250</v>
      </c>
    </row>
    <row r="33" spans="2:7" ht="12.75">
      <c r="B33" s="152">
        <v>35</v>
      </c>
      <c r="C33" s="147">
        <v>650</v>
      </c>
      <c r="D33" s="154">
        <v>250</v>
      </c>
      <c r="E33" s="154">
        <v>700</v>
      </c>
      <c r="F33" s="155">
        <v>4200</v>
      </c>
      <c r="G33" s="154">
        <v>1250</v>
      </c>
    </row>
    <row r="34" spans="2:7" ht="12.75">
      <c r="B34" s="153">
        <v>36</v>
      </c>
      <c r="C34" s="148">
        <v>700</v>
      </c>
      <c r="D34" s="154">
        <v>300</v>
      </c>
      <c r="E34" s="154">
        <v>800</v>
      </c>
      <c r="F34" s="154">
        <v>5050</v>
      </c>
      <c r="G34" s="154">
        <v>1500</v>
      </c>
    </row>
    <row r="35" spans="2:7" ht="12.75">
      <c r="B35" s="152">
        <v>37</v>
      </c>
      <c r="C35" s="147">
        <v>700</v>
      </c>
      <c r="D35" s="154">
        <v>300</v>
      </c>
      <c r="E35" s="154">
        <v>800</v>
      </c>
      <c r="F35" s="154">
        <v>5050</v>
      </c>
      <c r="G35" s="154">
        <v>1500</v>
      </c>
    </row>
    <row r="36" spans="2:7" ht="12.75">
      <c r="B36" s="152">
        <v>38</v>
      </c>
      <c r="C36" s="147">
        <v>700</v>
      </c>
      <c r="D36" s="154">
        <v>300</v>
      </c>
      <c r="E36" s="154">
        <v>800</v>
      </c>
      <c r="F36" s="154">
        <v>5050</v>
      </c>
      <c r="G36" s="154">
        <v>1500</v>
      </c>
    </row>
    <row r="37" spans="2:7" ht="12.75">
      <c r="B37" s="152">
        <v>39</v>
      </c>
      <c r="C37" s="147">
        <v>700</v>
      </c>
      <c r="D37" s="154">
        <v>300</v>
      </c>
      <c r="E37" s="154">
        <v>800</v>
      </c>
      <c r="F37" s="154">
        <v>5050</v>
      </c>
      <c r="G37" s="154">
        <v>1500</v>
      </c>
    </row>
    <row r="38" spans="2:7" ht="12.75">
      <c r="B38" s="152">
        <v>40</v>
      </c>
      <c r="C38" s="147">
        <v>700</v>
      </c>
      <c r="D38" s="154">
        <v>300</v>
      </c>
      <c r="E38" s="154">
        <v>800</v>
      </c>
      <c r="F38" s="155">
        <v>5050</v>
      </c>
      <c r="G38" s="154">
        <v>1500</v>
      </c>
    </row>
    <row r="39" spans="2:7" ht="12.75">
      <c r="B39" s="153">
        <v>41</v>
      </c>
      <c r="C39" s="148">
        <v>750</v>
      </c>
      <c r="D39" s="154">
        <v>350</v>
      </c>
      <c r="E39" s="154">
        <v>900</v>
      </c>
      <c r="F39" s="154">
        <v>5900</v>
      </c>
      <c r="G39" s="154"/>
    </row>
    <row r="40" spans="2:7" ht="12.75">
      <c r="B40" s="152">
        <v>42</v>
      </c>
      <c r="C40" s="147">
        <v>750</v>
      </c>
      <c r="D40" s="154">
        <v>350</v>
      </c>
      <c r="E40" s="154">
        <v>900</v>
      </c>
      <c r="F40" s="154">
        <v>5900</v>
      </c>
      <c r="G40" s="154"/>
    </row>
    <row r="41" spans="2:7" ht="12.75">
      <c r="B41" s="152">
        <v>43</v>
      </c>
      <c r="C41" s="147">
        <v>750</v>
      </c>
      <c r="D41" s="154">
        <v>350</v>
      </c>
      <c r="E41" s="154">
        <v>900</v>
      </c>
      <c r="F41" s="154">
        <v>5900</v>
      </c>
      <c r="G41" s="154"/>
    </row>
    <row r="42" spans="2:7" ht="12.75">
      <c r="B42" s="152">
        <v>44</v>
      </c>
      <c r="C42" s="147">
        <v>750</v>
      </c>
      <c r="D42" s="154">
        <v>350</v>
      </c>
      <c r="E42" s="154">
        <v>900</v>
      </c>
      <c r="F42" s="154">
        <v>5900</v>
      </c>
      <c r="G42" s="154"/>
    </row>
    <row r="43" spans="2:7" ht="12.75">
      <c r="B43" s="152">
        <v>45</v>
      </c>
      <c r="C43" s="147">
        <v>750</v>
      </c>
      <c r="D43" s="154">
        <v>350</v>
      </c>
      <c r="E43" s="154">
        <v>900</v>
      </c>
      <c r="F43" s="154">
        <v>5900</v>
      </c>
      <c r="G43" s="154"/>
    </row>
  </sheetData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rgb="FFFFFF00"/>
  </sheetPr>
  <dimension ref="A1:S79"/>
  <sheetViews>
    <sheetView showGridLines="0" rightToLeft="1" tabSelected="1" showWhiteSpace="0" view="pageBreakPreview" topLeftCell="A2" zoomScaleNormal="100" zoomScaleSheetLayoutView="100" zoomScalePageLayoutView="90" workbookViewId="0">
      <selection activeCell="D18" sqref="D18"/>
    </sheetView>
  </sheetViews>
  <sheetFormatPr defaultColWidth="9.16796875" defaultRowHeight="20.25"/>
  <cols>
    <col min="1" max="1" width="3.234375" style="115" customWidth="1"/>
    <col min="2" max="2" width="5.12109375" style="60" customWidth="1"/>
    <col min="3" max="3" width="18.33984375" style="60" customWidth="1"/>
    <col min="4" max="4" width="3.91015625" style="60" customWidth="1"/>
    <col min="5" max="5" width="26.0234375" style="60" customWidth="1"/>
    <col min="6" max="6" width="4.04296875" style="60" customWidth="1"/>
    <col min="7" max="7" width="26.69921875" style="60" customWidth="1"/>
    <col min="8" max="8" width="3.91015625" style="60" customWidth="1"/>
    <col min="9" max="9" width="27.10546875" style="60" customWidth="1"/>
    <col min="10" max="10" width="3.234375" style="89" customWidth="1"/>
    <col min="11" max="11" width="23.4609375" style="60" customWidth="1"/>
    <col min="12" max="12" width="5.12109375" style="60" customWidth="1"/>
    <col min="13" max="13" width="11.8671875" style="60" hidden="1" customWidth="1"/>
    <col min="14" max="14" width="18.87890625" style="60" customWidth="1"/>
    <col min="15" max="15" width="24.00390625" style="60" customWidth="1"/>
    <col min="16" max="16" width="4.04296875" style="60" customWidth="1"/>
    <col min="17" max="18" width="9.16796875" style="60"/>
    <col min="19" max="19" width="9.16796875" style="115"/>
    <col min="20" max="16384" width="9.16796875" style="60"/>
  </cols>
  <sheetData>
    <row r="1" spans="1:19" ht="10.5" customHeight="1"/>
    <row r="2" spans="1:19" ht="10.5" customHeight="1">
      <c r="B2" s="59"/>
      <c r="C2" s="166" t="s">
        <v>50</v>
      </c>
      <c r="D2" s="166"/>
      <c r="E2" s="166"/>
      <c r="F2" s="166"/>
      <c r="G2" s="166"/>
      <c r="H2" s="166"/>
      <c r="I2" s="166"/>
      <c r="J2" s="166"/>
      <c r="K2" s="166"/>
      <c r="L2" s="129"/>
      <c r="M2" s="128"/>
      <c r="N2" s="128"/>
      <c r="O2" s="128"/>
    </row>
    <row r="3" spans="1:19" ht="18.75" customHeight="1" thickBot="1">
      <c r="B3" s="59"/>
      <c r="C3" s="166"/>
      <c r="D3" s="166"/>
      <c r="E3" s="166"/>
      <c r="F3" s="166"/>
      <c r="G3" s="166"/>
      <c r="H3" s="166"/>
      <c r="I3" s="166"/>
      <c r="J3" s="166"/>
      <c r="K3" s="166"/>
      <c r="L3" s="130"/>
      <c r="M3" s="61"/>
      <c r="N3" s="164"/>
      <c r="O3" s="164"/>
    </row>
    <row r="4" spans="1:19" ht="30.75" customHeight="1" thickTop="1" thickBot="1">
      <c r="B4" s="59"/>
      <c r="C4" s="141" t="s">
        <v>18</v>
      </c>
      <c r="D4" s="117"/>
      <c r="E4" s="141" t="s">
        <v>0</v>
      </c>
      <c r="F4" s="117"/>
      <c r="G4" s="116" t="s">
        <v>10</v>
      </c>
      <c r="H4" s="144"/>
      <c r="I4" s="145" t="s">
        <v>11</v>
      </c>
      <c r="J4" s="146"/>
      <c r="K4" s="141" t="s">
        <v>42</v>
      </c>
      <c r="L4" s="127"/>
      <c r="M4" s="139"/>
      <c r="N4" s="139"/>
      <c r="O4" s="139"/>
    </row>
    <row r="5" spans="1:19" ht="31.5" customHeight="1" thickTop="1" thickBot="1">
      <c r="B5" s="64"/>
      <c r="C5" s="142">
        <v>10</v>
      </c>
      <c r="D5" s="118"/>
      <c r="E5" s="142">
        <v>10</v>
      </c>
      <c r="F5" s="118"/>
      <c r="G5" s="143" t="s">
        <v>52</v>
      </c>
      <c r="H5" s="59"/>
      <c r="I5" s="143" t="s">
        <v>51</v>
      </c>
      <c r="J5" s="65">
        <v>1</v>
      </c>
      <c r="K5" s="143">
        <v>1110014955</v>
      </c>
      <c r="L5" s="127"/>
      <c r="M5" s="66"/>
      <c r="N5" s="63"/>
      <c r="O5" s="67"/>
    </row>
    <row r="6" spans="1:19" s="59" customFormat="1" ht="41.25" customHeight="1" thickTop="1">
      <c r="A6" s="138"/>
      <c r="B6" s="127"/>
      <c r="C6" s="118"/>
      <c r="D6" s="118"/>
      <c r="E6" s="118"/>
      <c r="F6" s="118"/>
      <c r="G6" s="135"/>
      <c r="I6" s="136"/>
      <c r="J6" s="65"/>
      <c r="K6" s="136"/>
      <c r="L6" s="127"/>
      <c r="M6" s="65"/>
      <c r="N6" s="132"/>
      <c r="O6" s="137"/>
      <c r="S6" s="138"/>
    </row>
    <row r="7" spans="1:19" ht="18" customHeight="1">
      <c r="B7" s="59"/>
      <c r="C7" s="62"/>
      <c r="D7" s="62"/>
      <c r="E7" s="62"/>
      <c r="F7" s="62"/>
      <c r="G7" s="62"/>
      <c r="H7" s="62"/>
      <c r="I7" s="62"/>
      <c r="J7" s="59"/>
      <c r="K7" s="132"/>
      <c r="L7" s="131"/>
      <c r="M7" s="139"/>
      <c r="N7" s="165"/>
      <c r="O7" s="165"/>
    </row>
    <row r="8" spans="1:19" ht="2.25" customHeight="1" thickBot="1">
      <c r="B8" s="68"/>
      <c r="C8" s="59"/>
      <c r="D8" s="59"/>
      <c r="E8" s="133"/>
      <c r="F8" s="59"/>
      <c r="G8" s="133"/>
      <c r="H8" s="59"/>
      <c r="I8" s="133"/>
      <c r="J8" s="59"/>
      <c r="K8" s="133"/>
      <c r="L8" s="131"/>
      <c r="M8" s="139"/>
      <c r="N8" s="63"/>
      <c r="O8" s="70"/>
      <c r="Q8" s="71"/>
    </row>
    <row r="9" spans="1:19" ht="18.75" hidden="1" customHeight="1" thickBot="1">
      <c r="B9" s="68"/>
      <c r="C9" s="90">
        <f>IFERROR(VLOOKUP($C$5,الائحة!B3:G43,2,0),"")</f>
        <v>250</v>
      </c>
      <c r="D9" s="158"/>
      <c r="E9" s="90">
        <f>IFERROR(VLOOKUP($C$5,الائحة!B3:G43,3,0),"")</f>
        <v>100</v>
      </c>
      <c r="F9" s="158"/>
      <c r="G9" s="90">
        <f>IFERROR(VLOOKUP($C$5,الائحة!B3:G43,4,0),"")</f>
        <v>300</v>
      </c>
      <c r="H9" s="62"/>
      <c r="I9" s="90">
        <f>IFERROR(VLOOKUP($C$5,الائحة!B3:G43,5,0),"")</f>
        <v>1200</v>
      </c>
      <c r="J9" s="127"/>
      <c r="K9" s="90">
        <f>IFERROR(VLOOKUP($C$5,الائحة!B3:G43,6,0),"")</f>
        <v>500</v>
      </c>
      <c r="L9" s="132"/>
      <c r="M9" s="139"/>
      <c r="N9" s="63"/>
      <c r="O9" s="69"/>
    </row>
    <row r="10" spans="1:19" ht="21.75" customHeight="1" thickTop="1" thickBot="1">
      <c r="A10" s="115">
        <v>10</v>
      </c>
      <c r="B10" s="72"/>
      <c r="C10" s="114" t="s">
        <v>33</v>
      </c>
      <c r="D10" s="64"/>
      <c r="E10" s="113" t="s">
        <v>17</v>
      </c>
      <c r="F10" s="127"/>
      <c r="G10" s="114" t="s">
        <v>24</v>
      </c>
      <c r="H10" s="73"/>
      <c r="I10" s="113" t="s">
        <v>19</v>
      </c>
      <c r="J10" s="127"/>
      <c r="K10" s="114" t="s">
        <v>46</v>
      </c>
      <c r="L10" s="132"/>
      <c r="M10" s="139"/>
      <c r="N10" s="74"/>
      <c r="O10" s="74"/>
      <c r="S10" s="115">
        <v>8</v>
      </c>
    </row>
    <row r="11" spans="1:19" ht="19.5" customHeight="1" thickTop="1" thickBot="1">
      <c r="A11" s="115">
        <v>11</v>
      </c>
      <c r="B11" s="75"/>
      <c r="C11" s="159" t="s">
        <v>1</v>
      </c>
      <c r="D11" s="64"/>
      <c r="E11" s="57">
        <f>C5*C9</f>
        <v>2500</v>
      </c>
      <c r="F11" s="127"/>
      <c r="G11" s="57">
        <f>C9*C5</f>
        <v>2500</v>
      </c>
      <c r="H11" s="73"/>
      <c r="I11" s="57">
        <f>C5*C9/2</f>
        <v>1250</v>
      </c>
      <c r="J11" s="127"/>
      <c r="K11" s="159"/>
      <c r="L11" s="127"/>
      <c r="M11" s="139"/>
      <c r="N11" s="76"/>
      <c r="O11" s="76"/>
    </row>
    <row r="12" spans="1:19" ht="22.5" customHeight="1" thickTop="1" thickBot="1">
      <c r="A12" s="115">
        <v>12</v>
      </c>
      <c r="B12" s="72"/>
      <c r="C12" s="159" t="s">
        <v>2</v>
      </c>
      <c r="D12" s="64"/>
      <c r="E12" s="57">
        <f>C5*E9*E5</f>
        <v>10000</v>
      </c>
      <c r="F12" s="127"/>
      <c r="G12" s="57">
        <f>C5*G9*E5</f>
        <v>30000</v>
      </c>
      <c r="H12" s="73"/>
      <c r="I12" s="57">
        <f>I9*E5</f>
        <v>12000</v>
      </c>
      <c r="J12" s="127"/>
      <c r="K12" s="57">
        <f>K9*E5</f>
        <v>5000</v>
      </c>
      <c r="L12" s="132"/>
      <c r="M12" s="139"/>
      <c r="N12" s="70"/>
      <c r="O12" s="70"/>
      <c r="S12" s="115">
        <v>10</v>
      </c>
    </row>
    <row r="13" spans="1:19" ht="21" customHeight="1" thickTop="1" thickBot="1">
      <c r="A13" s="115">
        <v>13</v>
      </c>
      <c r="B13" s="77"/>
      <c r="C13" s="159" t="s">
        <v>3</v>
      </c>
      <c r="D13" s="64"/>
      <c r="E13" s="57">
        <f>E5*100</f>
        <v>1000</v>
      </c>
      <c r="F13" s="127"/>
      <c r="G13" s="57">
        <f>E5*100</f>
        <v>1000</v>
      </c>
      <c r="H13" s="78"/>
      <c r="I13" s="57">
        <f>E5*100</f>
        <v>1000</v>
      </c>
      <c r="J13" s="127"/>
      <c r="K13" s="159"/>
      <c r="L13" s="127"/>
      <c r="M13" s="139"/>
      <c r="N13" s="79"/>
      <c r="O13" s="79"/>
      <c r="S13" s="115">
        <v>11</v>
      </c>
    </row>
    <row r="14" spans="1:19" ht="25.5" customHeight="1" thickTop="1" thickBot="1">
      <c r="A14" s="115">
        <v>14</v>
      </c>
      <c r="B14" s="80"/>
      <c r="C14" s="159" t="s">
        <v>4</v>
      </c>
      <c r="D14" s="64"/>
      <c r="E14" s="57">
        <f>E13+E12+E11</f>
        <v>13500</v>
      </c>
      <c r="F14" s="119"/>
      <c r="G14" s="57">
        <f>G13+G12+G11</f>
        <v>33500</v>
      </c>
      <c r="H14" s="78"/>
      <c r="I14" s="57">
        <f>I13+I12+I11</f>
        <v>14250</v>
      </c>
      <c r="J14" s="127"/>
      <c r="K14" s="159"/>
      <c r="L14" s="132"/>
      <c r="M14" s="139"/>
      <c r="N14" s="70"/>
      <c r="O14" s="70"/>
      <c r="S14" s="115">
        <v>12</v>
      </c>
    </row>
    <row r="15" spans="1:19" ht="24" customHeight="1" thickTop="1" thickBot="1">
      <c r="A15" s="115">
        <v>15</v>
      </c>
      <c r="B15" s="81"/>
      <c r="C15" s="160" t="s">
        <v>48</v>
      </c>
      <c r="D15" s="64"/>
      <c r="E15" s="58">
        <f>E14*14%</f>
        <v>1890.0000000000002</v>
      </c>
      <c r="F15" s="127"/>
      <c r="G15" s="58">
        <f>G14*14%</f>
        <v>4690</v>
      </c>
      <c r="H15" s="73"/>
      <c r="I15" s="58">
        <f>I14*14%</f>
        <v>1995.0000000000002</v>
      </c>
      <c r="J15" s="65"/>
      <c r="K15" s="161"/>
      <c r="L15" s="132"/>
      <c r="M15" s="139"/>
      <c r="N15" s="82"/>
      <c r="O15" s="82"/>
      <c r="S15" s="115">
        <v>13</v>
      </c>
    </row>
    <row r="16" spans="1:19" ht="25.5" customHeight="1" thickTop="1" thickBot="1">
      <c r="A16" s="115">
        <v>16</v>
      </c>
      <c r="B16" s="83"/>
      <c r="C16" s="162" t="s">
        <v>5</v>
      </c>
      <c r="D16" s="127"/>
      <c r="E16" s="120">
        <f>E14+E15</f>
        <v>15390</v>
      </c>
      <c r="F16" s="127"/>
      <c r="G16" s="121">
        <f>G14+G15</f>
        <v>38190</v>
      </c>
      <c r="H16" s="127"/>
      <c r="I16" s="120">
        <f>I14+I15</f>
        <v>16245</v>
      </c>
      <c r="J16" s="127"/>
      <c r="K16" s="121">
        <f>K12</f>
        <v>5000</v>
      </c>
      <c r="L16" s="127"/>
      <c r="M16" s="139"/>
      <c r="N16" s="139"/>
      <c r="O16" s="139"/>
      <c r="S16" s="115">
        <v>14</v>
      </c>
    </row>
    <row r="17" spans="1:19" ht="21" thickTop="1">
      <c r="A17" s="115">
        <v>17</v>
      </c>
      <c r="B17" s="81"/>
      <c r="C17" s="84"/>
      <c r="D17" s="84"/>
      <c r="E17" s="85"/>
      <c r="F17" s="85"/>
      <c r="G17" s="127"/>
      <c r="H17" s="127"/>
      <c r="I17" s="127"/>
      <c r="J17" s="127"/>
      <c r="K17" s="127"/>
      <c r="L17" s="127"/>
      <c r="M17" s="139"/>
      <c r="N17" s="139"/>
      <c r="O17" s="139"/>
      <c r="S17" s="115">
        <v>15</v>
      </c>
    </row>
    <row r="18" spans="1:19">
      <c r="A18" s="115">
        <v>18</v>
      </c>
      <c r="B18" s="83"/>
      <c r="C18" s="127"/>
      <c r="D18" s="127"/>
      <c r="E18" s="127"/>
      <c r="F18" s="127"/>
      <c r="G18" s="127"/>
      <c r="H18" s="127"/>
      <c r="I18" s="127"/>
      <c r="J18" s="127"/>
      <c r="K18" s="139"/>
      <c r="L18" s="139"/>
      <c r="M18" s="139"/>
      <c r="N18" s="139"/>
      <c r="O18" s="139"/>
      <c r="S18" s="115">
        <v>16</v>
      </c>
    </row>
    <row r="19" spans="1:19">
      <c r="A19" s="115">
        <v>19</v>
      </c>
      <c r="B19" s="86"/>
      <c r="C19" s="140"/>
      <c r="D19" s="140"/>
      <c r="E19" s="140"/>
      <c r="F19" s="140"/>
      <c r="G19" s="87"/>
      <c r="H19" s="140"/>
      <c r="I19" s="140"/>
      <c r="J19" s="139"/>
      <c r="K19" s="140"/>
      <c r="L19" s="140"/>
      <c r="M19" s="140"/>
      <c r="N19" s="140"/>
      <c r="S19" s="115">
        <v>17</v>
      </c>
    </row>
    <row r="20" spans="1:19">
      <c r="A20" s="115">
        <v>20</v>
      </c>
      <c r="B20" s="86"/>
      <c r="C20" s="140"/>
      <c r="D20" s="140"/>
      <c r="E20" s="140"/>
      <c r="F20" s="140"/>
      <c r="G20" s="140"/>
      <c r="H20" s="140"/>
      <c r="I20" s="140"/>
      <c r="J20" s="139"/>
      <c r="K20" s="140"/>
      <c r="L20" s="140"/>
      <c r="M20" s="140"/>
      <c r="N20" s="140"/>
      <c r="S20" s="115">
        <v>18</v>
      </c>
    </row>
    <row r="21" spans="1:19">
      <c r="A21" s="115">
        <v>21</v>
      </c>
      <c r="B21" s="86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40"/>
      <c r="S21" s="115">
        <v>19</v>
      </c>
    </row>
    <row r="22" spans="1:19">
      <c r="A22" s="115">
        <v>22</v>
      </c>
      <c r="B22" s="86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40"/>
      <c r="S22" s="115">
        <v>20</v>
      </c>
    </row>
    <row r="23" spans="1:19">
      <c r="A23" s="115">
        <v>23</v>
      </c>
      <c r="B23" s="86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40"/>
      <c r="S23" s="115">
        <v>21</v>
      </c>
    </row>
    <row r="24" spans="1:19">
      <c r="A24" s="115">
        <v>24</v>
      </c>
      <c r="B24" s="86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40"/>
      <c r="S24" s="115">
        <v>22</v>
      </c>
    </row>
    <row r="25" spans="1:19">
      <c r="A25" s="115">
        <v>25</v>
      </c>
      <c r="B25" s="86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40"/>
      <c r="S25" s="115">
        <v>23</v>
      </c>
    </row>
    <row r="26" spans="1:19">
      <c r="A26" s="115">
        <v>26</v>
      </c>
      <c r="B26" s="86"/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40"/>
      <c r="S26" s="115">
        <v>24</v>
      </c>
    </row>
    <row r="27" spans="1:19">
      <c r="A27" s="115">
        <v>27</v>
      </c>
      <c r="B27" s="86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40"/>
      <c r="S27" s="115">
        <v>25</v>
      </c>
    </row>
    <row r="28" spans="1:19">
      <c r="A28" s="115">
        <v>28</v>
      </c>
      <c r="B28" s="86"/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40"/>
      <c r="S28" s="115">
        <v>26</v>
      </c>
    </row>
    <row r="29" spans="1:19">
      <c r="A29" s="115">
        <v>29</v>
      </c>
      <c r="B29" s="86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40"/>
    </row>
    <row r="30" spans="1:19">
      <c r="A30" s="115">
        <v>30</v>
      </c>
      <c r="B30" s="86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40"/>
    </row>
    <row r="31" spans="1:19">
      <c r="A31" s="115">
        <v>31</v>
      </c>
      <c r="B31" s="86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40"/>
    </row>
    <row r="32" spans="1:19">
      <c r="A32" s="115">
        <v>32</v>
      </c>
      <c r="B32" s="86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40"/>
    </row>
    <row r="33" spans="1:14">
      <c r="A33" s="115">
        <v>33</v>
      </c>
      <c r="B33" s="86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40"/>
    </row>
    <row r="34" spans="1:14">
      <c r="A34" s="115">
        <v>34</v>
      </c>
      <c r="B34" s="86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40"/>
    </row>
    <row r="35" spans="1:14">
      <c r="A35" s="115">
        <v>35</v>
      </c>
      <c r="B35" s="86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40"/>
    </row>
    <row r="36" spans="1:14">
      <c r="A36" s="115">
        <v>36</v>
      </c>
      <c r="B36" s="86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40"/>
    </row>
    <row r="37" spans="1:14">
      <c r="A37" s="115">
        <v>37</v>
      </c>
      <c r="B37" s="86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40"/>
    </row>
    <row r="38" spans="1:14">
      <c r="A38" s="115">
        <v>38</v>
      </c>
      <c r="B38" s="86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40"/>
    </row>
    <row r="39" spans="1:14">
      <c r="A39" s="115">
        <v>39</v>
      </c>
      <c r="B39" s="86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40"/>
    </row>
    <row r="40" spans="1:14">
      <c r="A40" s="115">
        <v>40</v>
      </c>
      <c r="B40" s="86"/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40"/>
    </row>
    <row r="41" spans="1:14">
      <c r="A41" s="115">
        <v>41</v>
      </c>
      <c r="B41" s="86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40"/>
    </row>
    <row r="42" spans="1:14">
      <c r="A42" s="115">
        <v>42</v>
      </c>
      <c r="B42" s="86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40"/>
    </row>
    <row r="43" spans="1:14">
      <c r="A43" s="115">
        <v>43</v>
      </c>
      <c r="B43" s="86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40"/>
    </row>
    <row r="44" spans="1:14">
      <c r="A44" s="115">
        <v>44</v>
      </c>
      <c r="B44" s="86"/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40"/>
    </row>
    <row r="45" spans="1:14">
      <c r="A45" s="115">
        <v>45</v>
      </c>
      <c r="B45" s="86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40"/>
    </row>
    <row r="46" spans="1:14">
      <c r="A46" s="115">
        <v>46</v>
      </c>
      <c r="B46" s="86"/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40"/>
    </row>
    <row r="47" spans="1:14">
      <c r="A47" s="115">
        <v>47</v>
      </c>
      <c r="B47" s="86"/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40"/>
    </row>
    <row r="48" spans="1:14">
      <c r="A48" s="115">
        <v>48</v>
      </c>
      <c r="B48" s="86"/>
      <c r="C48" s="163"/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140"/>
    </row>
    <row r="49" spans="1:14">
      <c r="A49" s="115">
        <v>49</v>
      </c>
      <c r="B49" s="86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40"/>
    </row>
    <row r="50" spans="1:14">
      <c r="A50" s="115">
        <v>50</v>
      </c>
      <c r="B50" s="86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40"/>
    </row>
    <row r="51" spans="1:14">
      <c r="A51" s="115">
        <v>51</v>
      </c>
      <c r="B51" s="86"/>
      <c r="C51" s="163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40"/>
    </row>
    <row r="52" spans="1:14">
      <c r="A52" s="115">
        <v>52</v>
      </c>
      <c r="B52" s="86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40"/>
    </row>
    <row r="53" spans="1:14">
      <c r="A53" s="115">
        <v>53</v>
      </c>
      <c r="B53" s="86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40"/>
    </row>
    <row r="54" spans="1:14">
      <c r="A54" s="115">
        <v>54</v>
      </c>
      <c r="B54" s="86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40"/>
    </row>
    <row r="55" spans="1:14">
      <c r="A55" s="115">
        <v>55</v>
      </c>
      <c r="B55" s="86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40"/>
    </row>
    <row r="56" spans="1:14">
      <c r="A56" s="115">
        <v>56</v>
      </c>
      <c r="B56" s="86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40"/>
    </row>
    <row r="57" spans="1:14">
      <c r="A57" s="115">
        <v>57</v>
      </c>
      <c r="B57" s="86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40"/>
    </row>
    <row r="58" spans="1:14">
      <c r="A58" s="115">
        <v>58</v>
      </c>
      <c r="B58" s="86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40"/>
    </row>
    <row r="59" spans="1:14">
      <c r="A59" s="115">
        <v>59</v>
      </c>
      <c r="B59" s="86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40"/>
    </row>
    <row r="60" spans="1:14">
      <c r="A60" s="115">
        <v>60</v>
      </c>
      <c r="B60" s="86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40"/>
    </row>
    <row r="61" spans="1:14">
      <c r="A61" s="115">
        <v>61</v>
      </c>
      <c r="B61" s="86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40"/>
    </row>
    <row r="62" spans="1:14">
      <c r="A62" s="115">
        <v>62</v>
      </c>
      <c r="B62" s="86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40"/>
    </row>
    <row r="63" spans="1:14">
      <c r="A63" s="115">
        <v>63</v>
      </c>
      <c r="B63" s="86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40"/>
    </row>
    <row r="64" spans="1:14">
      <c r="A64" s="115">
        <v>64</v>
      </c>
      <c r="B64" s="86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40"/>
    </row>
    <row r="65" spans="1:14">
      <c r="A65" s="115">
        <v>65</v>
      </c>
      <c r="B65" s="86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40"/>
    </row>
    <row r="66" spans="1:14">
      <c r="A66" s="115">
        <v>66</v>
      </c>
      <c r="B66" s="86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40"/>
    </row>
    <row r="67" spans="1:14">
      <c r="A67" s="115">
        <v>67</v>
      </c>
      <c r="B67" s="86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40"/>
    </row>
    <row r="68" spans="1:14">
      <c r="A68" s="115">
        <v>68</v>
      </c>
      <c r="B68" s="86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40"/>
    </row>
    <row r="69" spans="1:14">
      <c r="A69" s="115">
        <v>69</v>
      </c>
      <c r="B69" s="86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40"/>
    </row>
    <row r="70" spans="1:14">
      <c r="A70" s="115">
        <v>70</v>
      </c>
      <c r="B70" s="86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40"/>
    </row>
    <row r="71" spans="1:14">
      <c r="A71" s="115">
        <v>71</v>
      </c>
      <c r="B71" s="86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40"/>
    </row>
    <row r="72" spans="1:14">
      <c r="A72" s="115">
        <v>72</v>
      </c>
      <c r="B72" s="86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40"/>
    </row>
    <row r="73" spans="1:14">
      <c r="A73" s="115">
        <v>73</v>
      </c>
      <c r="B73" s="86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40"/>
    </row>
    <row r="74" spans="1:14">
      <c r="A74" s="115">
        <v>74</v>
      </c>
      <c r="B74" s="86"/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40"/>
    </row>
    <row r="75" spans="1:14">
      <c r="A75" s="115">
        <v>75</v>
      </c>
      <c r="B75" s="86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40"/>
    </row>
    <row r="76" spans="1:14">
      <c r="A76" s="115">
        <v>76</v>
      </c>
      <c r="B76" s="88"/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40"/>
    </row>
    <row r="77" spans="1:14">
      <c r="A77" s="115">
        <v>77</v>
      </c>
      <c r="B77" s="88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40"/>
    </row>
    <row r="78" spans="1:14">
      <c r="A78" s="115">
        <v>78</v>
      </c>
      <c r="B78" s="88"/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40"/>
    </row>
    <row r="79" spans="1:14">
      <c r="A79" s="115">
        <v>79</v>
      </c>
      <c r="B79" s="88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40"/>
    </row>
  </sheetData>
  <sheetProtection algorithmName="SHA-512" hashValue="GdRYidiZlZr1piBr+JgctFUqO2Sa5cVujEWmPUzjcXiYXS4yUbz2M6tcZ9XKbn9Svm7Ap2NGqf5k2uv1k31Vsw==" saltValue="w5e6HfeRJWYarnvTFMMFYw==" spinCount="100000" sheet="1" objects="1" scenarios="1"/>
  <mergeCells count="62">
    <mergeCell ref="C71:M71"/>
    <mergeCell ref="C60:M60"/>
    <mergeCell ref="C61:M61"/>
    <mergeCell ref="C62:M62"/>
    <mergeCell ref="C63:M63"/>
    <mergeCell ref="C66:M66"/>
    <mergeCell ref="C67:M67"/>
    <mergeCell ref="C68:M68"/>
    <mergeCell ref="C78:M78"/>
    <mergeCell ref="C79:M79"/>
    <mergeCell ref="C72:M72"/>
    <mergeCell ref="C73:M73"/>
    <mergeCell ref="C74:M74"/>
    <mergeCell ref="C75:M75"/>
    <mergeCell ref="C76:M76"/>
    <mergeCell ref="C77:M77"/>
    <mergeCell ref="N3:O3"/>
    <mergeCell ref="N7:O7"/>
    <mergeCell ref="C2:K3"/>
    <mergeCell ref="C69:M69"/>
    <mergeCell ref="C70:M70"/>
    <mergeCell ref="C59:M59"/>
    <mergeCell ref="C48:M48"/>
    <mergeCell ref="C49:M49"/>
    <mergeCell ref="C50:M50"/>
    <mergeCell ref="C51:M51"/>
    <mergeCell ref="C52:M52"/>
    <mergeCell ref="C53:M53"/>
    <mergeCell ref="C54:M54"/>
    <mergeCell ref="C55:M55"/>
    <mergeCell ref="C56:M56"/>
    <mergeCell ref="C57:M57"/>
    <mergeCell ref="C58:M58"/>
    <mergeCell ref="C64:M64"/>
    <mergeCell ref="C65:M65"/>
    <mergeCell ref="C47:M47"/>
    <mergeCell ref="C36:M36"/>
    <mergeCell ref="C37:M37"/>
    <mergeCell ref="C38:M38"/>
    <mergeCell ref="C39:M39"/>
    <mergeCell ref="C40:M40"/>
    <mergeCell ref="C41:M41"/>
    <mergeCell ref="C42:M42"/>
    <mergeCell ref="C43:M43"/>
    <mergeCell ref="C44:M44"/>
    <mergeCell ref="C45:M45"/>
    <mergeCell ref="C46:M46"/>
    <mergeCell ref="C23:M23"/>
    <mergeCell ref="C21:M21"/>
    <mergeCell ref="C22:M22"/>
    <mergeCell ref="C35:M35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</mergeCells>
  <pageMargins left="0.33" right="1.6927083333333332E-2" top="1.21" bottom="0.98425196850393704" header="0.81" footer="0.51181102362204722"/>
  <pageSetup paperSize="9" scale="1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ورقة1">
    <tabColor theme="5" tint="-0.249977111117893"/>
  </sheetPr>
  <dimension ref="A2:R20"/>
  <sheetViews>
    <sheetView showGridLines="0" rightToLeft="1" showWhiteSpace="0" view="pageBreakPreview" zoomScale="40" zoomScaleNormal="100" zoomScaleSheetLayoutView="40" workbookViewId="0">
      <selection activeCell="E27" sqref="E27"/>
    </sheetView>
  </sheetViews>
  <sheetFormatPr defaultRowHeight="12.75"/>
  <cols>
    <col min="1" max="1" width="6.875" customWidth="1"/>
    <col min="2" max="2" width="5.390625" customWidth="1"/>
    <col min="3" max="3" width="8.22265625" customWidth="1"/>
    <col min="4" max="4" width="15.5078125" customWidth="1"/>
    <col min="5" max="5" width="4.98828125" customWidth="1"/>
    <col min="6" max="6" width="12.26953125" customWidth="1"/>
    <col min="7" max="7" width="13.88671875" customWidth="1"/>
    <col min="8" max="8" width="15.23828125" customWidth="1"/>
    <col min="9" max="9" width="6.60546875" customWidth="1"/>
    <col min="10" max="10" width="6.7421875" customWidth="1"/>
    <col min="11" max="11" width="14.29296875" customWidth="1"/>
    <col min="12" max="12" width="5.390625" customWidth="1"/>
    <col min="13" max="13" width="4.44921875" customWidth="1"/>
    <col min="14" max="14" width="0.1328125" hidden="1" customWidth="1"/>
    <col min="15" max="15" width="2.55859375" hidden="1" customWidth="1"/>
    <col min="16" max="16" width="2.55859375" customWidth="1"/>
    <col min="17" max="17" width="0.80859375" customWidth="1"/>
    <col min="18" max="18" width="1.48046875" customWidth="1"/>
    <col min="19" max="19" width="6.3359375" customWidth="1"/>
  </cols>
  <sheetData>
    <row r="2" spans="1:18" ht="58.5" customHeight="1">
      <c r="A2" t="s">
        <v>23</v>
      </c>
      <c r="B2" s="16" t="s">
        <v>15</v>
      </c>
      <c r="D2" s="39"/>
      <c r="E2" s="17"/>
      <c r="F2" s="17"/>
      <c r="G2" s="17"/>
      <c r="H2" s="17"/>
      <c r="I2" s="17"/>
      <c r="J2" s="17"/>
      <c r="K2" s="16"/>
      <c r="L2" s="16"/>
      <c r="M2" s="5"/>
      <c r="N2" s="5"/>
      <c r="O2" s="5"/>
      <c r="P2" s="5"/>
      <c r="Q2" s="5"/>
      <c r="R2" s="5"/>
    </row>
    <row r="3" spans="1:18" ht="45.75" customHeight="1" thickBot="1">
      <c r="B3" s="40"/>
      <c r="D3" s="39"/>
      <c r="E3" s="18"/>
      <c r="F3" s="18"/>
      <c r="G3" s="18"/>
      <c r="H3" s="18"/>
      <c r="I3" s="18"/>
      <c r="J3" s="18"/>
      <c r="K3" s="18"/>
      <c r="L3" s="18"/>
      <c r="M3" s="5"/>
      <c r="N3" s="15"/>
      <c r="O3" s="15"/>
      <c r="P3" s="5"/>
      <c r="Q3" s="5"/>
      <c r="R3" s="5"/>
    </row>
    <row r="4" spans="1:18" ht="31.5" customHeight="1">
      <c r="B4" s="17"/>
      <c r="C4" s="17"/>
      <c r="D4" s="17"/>
      <c r="E4" s="18"/>
      <c r="F4" s="18"/>
      <c r="G4" s="18"/>
      <c r="H4" s="18"/>
      <c r="I4" s="18"/>
      <c r="J4" s="18"/>
      <c r="K4" s="18"/>
      <c r="L4" s="18"/>
      <c r="M4" s="5"/>
      <c r="N4" s="5"/>
      <c r="O4" s="5"/>
      <c r="P4" s="5"/>
      <c r="Q4" s="5"/>
      <c r="R4" s="5"/>
    </row>
    <row r="5" spans="1:18" ht="35.25" customHeight="1">
      <c r="B5" s="1"/>
      <c r="C5" s="167" t="s">
        <v>30</v>
      </c>
      <c r="D5" s="167"/>
      <c r="E5" s="167"/>
      <c r="F5" s="167"/>
      <c r="G5" s="167"/>
      <c r="H5" s="167"/>
      <c r="I5" s="167"/>
      <c r="J5" s="167"/>
      <c r="K5" s="167"/>
      <c r="L5" s="101"/>
    </row>
    <row r="6" spans="1:18" ht="35.25" customHeight="1">
      <c r="B6" s="1"/>
      <c r="C6" s="92"/>
      <c r="D6" s="92"/>
      <c r="E6" s="92"/>
      <c r="F6" s="92"/>
      <c r="G6" s="92"/>
      <c r="H6" s="92"/>
      <c r="I6" s="92"/>
      <c r="J6" s="92"/>
      <c r="K6" s="92"/>
      <c r="L6" s="92"/>
    </row>
    <row r="7" spans="1:18" ht="19.5" customHeight="1">
      <c r="B7" s="1"/>
    </row>
    <row r="8" spans="1:18" ht="44.25" customHeight="1">
      <c r="B8" s="1"/>
      <c r="C8" s="174" t="s">
        <v>25</v>
      </c>
      <c r="D8" s="174"/>
      <c r="E8" s="174" t="s">
        <v>20</v>
      </c>
      <c r="F8" s="174"/>
      <c r="G8" s="174"/>
      <c r="H8" s="174"/>
      <c r="I8" s="168" t="s">
        <v>26</v>
      </c>
      <c r="J8" s="169"/>
      <c r="K8" s="170"/>
      <c r="L8" s="98"/>
    </row>
    <row r="9" spans="1:18" ht="39" customHeight="1">
      <c r="B9" s="2"/>
      <c r="C9" s="179" t="str">
        <f>'حساب طلوع القزق'!G5</f>
        <v>فسبر3</v>
      </c>
      <c r="D9" s="179"/>
      <c r="E9" s="176" t="str">
        <f>'حساب طلوع القزق'!I5</f>
        <v>شركة فسبر جروب</v>
      </c>
      <c r="F9" s="177"/>
      <c r="G9" s="177"/>
      <c r="H9" s="178"/>
      <c r="I9" s="171">
        <f>'حساب طلوع القزق'!C5</f>
        <v>10</v>
      </c>
      <c r="J9" s="172"/>
      <c r="K9" s="173"/>
      <c r="L9" s="98"/>
      <c r="M9" s="5"/>
    </row>
    <row r="10" spans="1:18" ht="15.75" customHeight="1">
      <c r="B10" s="1"/>
      <c r="C10" s="93"/>
      <c r="D10" s="94"/>
      <c r="E10" s="94"/>
      <c r="F10" s="4"/>
      <c r="G10" s="2"/>
      <c r="H10" s="2"/>
      <c r="I10" s="2"/>
      <c r="J10" s="2"/>
      <c r="K10" s="5"/>
      <c r="L10" s="5"/>
    </row>
    <row r="11" spans="1:18" ht="30">
      <c r="B11" s="2"/>
      <c r="C11" s="93"/>
      <c r="D11" s="95"/>
      <c r="E11" s="96"/>
      <c r="F11" s="45"/>
      <c r="G11" s="2"/>
      <c r="H11" s="2"/>
      <c r="I11" s="2"/>
      <c r="J11" s="2"/>
      <c r="K11" s="5"/>
      <c r="L11" s="5"/>
      <c r="M11" s="5"/>
    </row>
    <row r="12" spans="1:18" ht="38.25" customHeight="1">
      <c r="B12" s="2"/>
      <c r="C12" s="175" t="s">
        <v>28</v>
      </c>
      <c r="D12" s="175"/>
      <c r="E12" s="175" t="s">
        <v>29</v>
      </c>
      <c r="F12" s="175"/>
      <c r="G12" s="175"/>
      <c r="H12" s="175"/>
      <c r="I12" s="174" t="s">
        <v>27</v>
      </c>
      <c r="J12" s="174"/>
      <c r="K12" s="174"/>
      <c r="L12" s="97"/>
      <c r="M12" s="5"/>
    </row>
    <row r="13" spans="1:18" ht="40.5" customHeight="1">
      <c r="B13" s="1"/>
      <c r="C13" s="179">
        <f>'حساب طلوع القزق'!E5</f>
        <v>10</v>
      </c>
      <c r="D13" s="179"/>
      <c r="E13" s="180">
        <f ca="1">TODAY()</f>
        <v>46038</v>
      </c>
      <c r="F13" s="179"/>
      <c r="G13" s="179"/>
      <c r="H13" s="179"/>
      <c r="I13" s="181">
        <f>'حساب طلوع القزق'!E16</f>
        <v>15390</v>
      </c>
      <c r="J13" s="179"/>
      <c r="K13" s="179"/>
      <c r="L13" s="52"/>
      <c r="M13" s="5"/>
    </row>
    <row r="14" spans="1:18" ht="25.5">
      <c r="B14" s="1"/>
      <c r="C14" s="93"/>
      <c r="D14" s="7"/>
      <c r="E14" s="8"/>
      <c r="F14" s="10"/>
      <c r="G14" s="12"/>
      <c r="H14" s="13"/>
      <c r="I14" s="13"/>
      <c r="J14" s="13"/>
      <c r="K14" s="9"/>
      <c r="L14" s="52"/>
    </row>
    <row r="15" spans="1:18" ht="27.75">
      <c r="B15" s="1"/>
      <c r="C15" s="99"/>
      <c r="D15" s="100"/>
      <c r="E15" s="100"/>
      <c r="F15" s="100"/>
      <c r="G15" s="100"/>
      <c r="H15" s="100"/>
      <c r="I15" s="100"/>
      <c r="J15" s="100"/>
      <c r="K15" s="100"/>
      <c r="L15" s="100"/>
      <c r="M15" s="5"/>
    </row>
    <row r="16" spans="1:18" ht="25.5">
      <c r="B16" s="1"/>
      <c r="C16" s="2"/>
      <c r="D16" s="2"/>
      <c r="E16" s="1"/>
      <c r="F16" s="2"/>
      <c r="G16" s="1"/>
      <c r="H16" s="1"/>
      <c r="I16" s="1"/>
      <c r="J16" s="1"/>
    </row>
    <row r="17" spans="2:10" ht="25.5">
      <c r="B17" s="1"/>
      <c r="C17" s="1"/>
      <c r="D17" s="1"/>
      <c r="E17" s="1"/>
      <c r="F17" s="1"/>
      <c r="G17" s="1"/>
      <c r="H17" s="1"/>
      <c r="I17" s="1"/>
      <c r="J17" s="1"/>
    </row>
    <row r="18" spans="2:10" ht="25.5">
      <c r="B18" s="1"/>
      <c r="C18" s="1"/>
      <c r="D18" s="1"/>
      <c r="E18" s="1"/>
      <c r="F18" s="1"/>
      <c r="G18" s="1"/>
      <c r="H18" s="1"/>
      <c r="I18" s="1"/>
      <c r="J18" s="1"/>
    </row>
    <row r="19" spans="2:10" ht="25.5">
      <c r="B19" s="1"/>
      <c r="C19" s="1"/>
      <c r="D19" s="1"/>
      <c r="E19" s="1"/>
      <c r="F19" s="1"/>
      <c r="G19" s="1" t="s">
        <v>15</v>
      </c>
      <c r="H19" s="1"/>
      <c r="I19" s="1"/>
      <c r="J19" s="1"/>
    </row>
    <row r="20" spans="2:10" ht="25.5">
      <c r="B20" s="1"/>
      <c r="C20" s="1"/>
      <c r="D20" s="1"/>
      <c r="E20" s="1"/>
      <c r="F20" s="1"/>
      <c r="G20" s="1"/>
      <c r="H20" s="1"/>
      <c r="I20" s="1"/>
      <c r="J20" s="1"/>
    </row>
  </sheetData>
  <sheetProtection algorithmName="SHA-512" hashValue="k876ODFNAZjenP3/Y2Fa79J1LhKH3QYnweH5C+bLf1ZjkkWFxE/UEeInrCucQ40RtHzv6IwdodawTxwXbImRTg==" saltValue="kPa2FhKAugb+SXK5FGyAnA==" spinCount="100000" sheet="1" objects="1" scenarios="1"/>
  <mergeCells count="13">
    <mergeCell ref="C13:D13"/>
    <mergeCell ref="E12:H12"/>
    <mergeCell ref="E13:H13"/>
    <mergeCell ref="I13:K13"/>
    <mergeCell ref="C8:D8"/>
    <mergeCell ref="C9:D9"/>
    <mergeCell ref="C5:K5"/>
    <mergeCell ref="I8:K8"/>
    <mergeCell ref="I9:K9"/>
    <mergeCell ref="I12:K12"/>
    <mergeCell ref="C12:D12"/>
    <mergeCell ref="E8:H8"/>
    <mergeCell ref="E9:H9"/>
  </mergeCells>
  <pageMargins left="0.25" right="0.46" top="0.7" bottom="0.75" header="0.17" footer="0.3"/>
  <pageSetup paperSize="9" scale="86" fitToWidth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ورقة8">
    <tabColor rgb="FF00B0F0"/>
  </sheetPr>
  <dimension ref="B2:P19"/>
  <sheetViews>
    <sheetView showGridLines="0" rightToLeft="1" showWhiteSpace="0" view="pageBreakPreview" zoomScale="50" zoomScaleNormal="100" zoomScaleSheetLayoutView="50" workbookViewId="0"/>
  </sheetViews>
  <sheetFormatPr defaultRowHeight="12.75"/>
  <cols>
    <col min="1" max="1" width="5.12109375" customWidth="1"/>
    <col min="2" max="2" width="3.91015625" customWidth="1"/>
    <col min="3" max="3" width="35.6015625" customWidth="1"/>
    <col min="4" max="4" width="6.3359375" customWidth="1"/>
    <col min="5" max="5" width="2.828125" customWidth="1"/>
    <col min="6" max="6" width="6.47265625" customWidth="1"/>
    <col min="7" max="7" width="2.55859375" customWidth="1"/>
    <col min="8" max="8" width="5.66015625" customWidth="1"/>
    <col min="9" max="9" width="9.9765625" customWidth="1"/>
    <col min="10" max="10" width="19.1484375" customWidth="1"/>
    <col min="11" max="11" width="3.1015625" customWidth="1"/>
    <col min="12" max="12" width="0.1328125" hidden="1" customWidth="1"/>
    <col min="13" max="13" width="2.55859375" hidden="1" customWidth="1"/>
    <col min="14" max="14" width="2.55859375" customWidth="1"/>
    <col min="15" max="15" width="0.80859375" customWidth="1"/>
    <col min="16" max="16" width="1.48046875" customWidth="1"/>
    <col min="17" max="17" width="6.3359375" customWidth="1"/>
  </cols>
  <sheetData>
    <row r="2" spans="2:16" ht="41.25" customHeight="1">
      <c r="B2" s="16"/>
      <c r="C2" s="34"/>
      <c r="D2" s="16"/>
      <c r="E2" s="16"/>
      <c r="F2" s="16"/>
      <c r="G2" s="16"/>
      <c r="H2" s="16"/>
      <c r="I2" s="16"/>
      <c r="J2" s="16"/>
      <c r="K2" s="5"/>
      <c r="L2" s="5"/>
      <c r="M2" s="5"/>
      <c r="N2" s="5"/>
      <c r="O2" s="5"/>
      <c r="P2" s="5"/>
    </row>
    <row r="3" spans="2:16" ht="51.75" customHeight="1" thickBot="1">
      <c r="B3" s="185"/>
      <c r="C3" s="185"/>
      <c r="D3" s="185"/>
      <c r="E3" s="18"/>
      <c r="F3" s="18"/>
      <c r="G3" s="18"/>
      <c r="H3" s="18"/>
      <c r="I3" s="18"/>
      <c r="J3" s="18"/>
      <c r="K3" s="5"/>
      <c r="L3" s="15"/>
      <c r="M3" s="15"/>
      <c r="N3" s="5"/>
      <c r="O3" s="5"/>
      <c r="P3" s="5"/>
    </row>
    <row r="4" spans="2:16" ht="18.75" customHeight="1">
      <c r="B4" s="17"/>
      <c r="C4" s="17"/>
      <c r="D4" s="17"/>
      <c r="E4" s="18"/>
      <c r="F4" s="18"/>
      <c r="G4" s="18"/>
      <c r="H4" s="18"/>
      <c r="I4" s="18"/>
      <c r="J4" s="18"/>
      <c r="K4" s="5"/>
      <c r="L4" s="5"/>
      <c r="M4" s="5"/>
      <c r="N4" s="5"/>
      <c r="O4" s="5"/>
      <c r="P4" s="5"/>
    </row>
    <row r="5" spans="2:16" ht="35.25" customHeight="1">
      <c r="B5" s="1"/>
      <c r="C5" s="186" t="str">
        <f>'مدة عادية'!C5:K5</f>
        <v>بيان مبلغ مستحق لطلوع ونزول وبقاء علي القزق (مدة عادية )</v>
      </c>
      <c r="D5" s="186"/>
      <c r="E5" s="186"/>
      <c r="F5" s="186"/>
      <c r="G5" s="186"/>
      <c r="H5" s="186"/>
      <c r="I5" s="186"/>
      <c r="J5" s="186"/>
    </row>
    <row r="6" spans="2:16" ht="19.5" customHeight="1" thickBot="1">
      <c r="B6" s="1"/>
    </row>
    <row r="7" spans="2:16" ht="27" thickTop="1" thickBot="1">
      <c r="B7" s="1"/>
      <c r="C7" s="41" t="s">
        <v>6</v>
      </c>
      <c r="D7" s="187" t="str">
        <f>'حساب طلوع القزق'!G5</f>
        <v>فسبر3</v>
      </c>
      <c r="E7" s="188"/>
      <c r="F7" s="188"/>
      <c r="G7" s="188"/>
      <c r="H7" s="188"/>
      <c r="I7" s="188"/>
      <c r="J7" s="189"/>
    </row>
    <row r="8" spans="2:16" ht="27" thickTop="1" thickBot="1">
      <c r="B8" s="21"/>
      <c r="C8" s="53" t="s">
        <v>7</v>
      </c>
      <c r="D8" s="190" t="str">
        <f>'حساب طلوع القزق'!I5</f>
        <v>شركة فسبر جروب</v>
      </c>
      <c r="E8" s="191"/>
      <c r="F8" s="191"/>
      <c r="G8" s="191"/>
      <c r="H8" s="191"/>
      <c r="I8" s="191"/>
      <c r="J8" s="192"/>
      <c r="K8" s="20"/>
    </row>
    <row r="9" spans="2:16" ht="29.25" thickTop="1" thickBot="1">
      <c r="B9" s="1"/>
      <c r="C9" s="54" t="s">
        <v>8</v>
      </c>
      <c r="D9" s="193">
        <f>'حساب طلوع القزق'!C5</f>
        <v>10</v>
      </c>
      <c r="E9" s="194"/>
      <c r="F9" s="4" t="s">
        <v>12</v>
      </c>
      <c r="G9" s="2"/>
      <c r="H9" s="22"/>
      <c r="I9" s="23"/>
      <c r="J9" s="24"/>
    </row>
    <row r="10" spans="2:16" ht="31.5" thickTop="1" thickBot="1">
      <c r="B10" s="21"/>
      <c r="C10" s="41" t="s">
        <v>0</v>
      </c>
      <c r="D10" s="195">
        <f>'حساب طلوع القزق'!E5</f>
        <v>10</v>
      </c>
      <c r="E10" s="196"/>
      <c r="F10" s="19" t="s">
        <v>9</v>
      </c>
      <c r="G10" s="26"/>
      <c r="H10" s="2"/>
      <c r="I10" s="20"/>
      <c r="J10" s="25"/>
      <c r="K10" s="20"/>
    </row>
    <row r="11" spans="2:16" ht="27" thickTop="1" thickBot="1">
      <c r="B11" s="21"/>
      <c r="C11" s="41" t="s">
        <v>1</v>
      </c>
      <c r="D11" s="32">
        <f>'حساب طلوع القزق'!C5</f>
        <v>10</v>
      </c>
      <c r="E11" s="8" t="s">
        <v>13</v>
      </c>
      <c r="F11" s="28">
        <f>'حساب طلوع القزق'!C9</f>
        <v>250</v>
      </c>
      <c r="G11" s="27"/>
      <c r="H11" s="36"/>
      <c r="I11" s="37" t="s">
        <v>16</v>
      </c>
      <c r="J11" s="35">
        <f>'حساب طلوع القزق'!G11</f>
        <v>2500</v>
      </c>
      <c r="K11" s="20"/>
    </row>
    <row r="12" spans="2:16" ht="27" thickTop="1" thickBot="1">
      <c r="B12" s="1"/>
      <c r="C12" s="51" t="s">
        <v>2</v>
      </c>
      <c r="D12" s="31">
        <f>D9</f>
        <v>10</v>
      </c>
      <c r="E12" s="8" t="s">
        <v>13</v>
      </c>
      <c r="F12" s="3">
        <f>'حساب طلوع القزق'!E9</f>
        <v>100</v>
      </c>
      <c r="G12" s="11" t="s">
        <v>13</v>
      </c>
      <c r="H12" s="6">
        <f>D10</f>
        <v>10</v>
      </c>
      <c r="I12" s="9" t="s">
        <v>14</v>
      </c>
      <c r="J12" s="29">
        <f>'حساب طلوع القزق'!E12</f>
        <v>10000</v>
      </c>
      <c r="K12" s="20"/>
    </row>
    <row r="13" spans="2:16" ht="27" thickTop="1" thickBot="1">
      <c r="B13" s="1"/>
      <c r="C13" s="41" t="s">
        <v>3</v>
      </c>
      <c r="D13" s="30">
        <v>100</v>
      </c>
      <c r="E13" s="8" t="s">
        <v>13</v>
      </c>
      <c r="F13" s="10">
        <f>D10</f>
        <v>10</v>
      </c>
      <c r="G13" s="12"/>
      <c r="H13" s="13"/>
      <c r="I13" s="9" t="s">
        <v>14</v>
      </c>
      <c r="J13" s="29">
        <f>'حساب طلوع القزق'!E13</f>
        <v>1000</v>
      </c>
    </row>
    <row r="14" spans="2:16" ht="29.25" thickTop="1" thickBot="1">
      <c r="B14" s="1"/>
      <c r="C14" s="55" t="s">
        <v>5</v>
      </c>
      <c r="D14" s="182">
        <f>'حساب طلوع القزق'!E16</f>
        <v>15390</v>
      </c>
      <c r="E14" s="183"/>
      <c r="F14" s="183"/>
      <c r="G14" s="183"/>
      <c r="H14" s="183"/>
      <c r="I14" s="183"/>
      <c r="J14" s="184"/>
      <c r="K14" s="20"/>
    </row>
    <row r="15" spans="2:16" ht="26.25" thickTop="1">
      <c r="B15" s="1"/>
      <c r="C15" s="26"/>
      <c r="D15" s="2"/>
      <c r="E15" s="1"/>
      <c r="F15" s="2"/>
      <c r="G15" s="1"/>
      <c r="H15" s="1"/>
    </row>
    <row r="16" spans="2:16" ht="25.5">
      <c r="B16" s="1"/>
      <c r="C16" s="1"/>
      <c r="D16" s="1"/>
      <c r="E16" s="1"/>
      <c r="F16" s="1"/>
      <c r="G16" s="1"/>
      <c r="H16" s="1"/>
    </row>
    <row r="17" spans="2:8" ht="25.5">
      <c r="B17" s="1"/>
      <c r="C17" s="1"/>
      <c r="D17" s="1"/>
      <c r="E17" s="1"/>
      <c r="F17" s="1"/>
      <c r="G17" s="1"/>
      <c r="H17" s="1"/>
    </row>
    <row r="18" spans="2:8" ht="25.5">
      <c r="B18" s="1"/>
      <c r="C18" s="1"/>
      <c r="D18" s="1"/>
      <c r="E18" s="1"/>
      <c r="F18" s="1"/>
      <c r="G18" s="1"/>
      <c r="H18" s="1"/>
    </row>
    <row r="19" spans="2:8" ht="25.5">
      <c r="B19" s="1"/>
      <c r="C19" s="1"/>
      <c r="D19" s="1"/>
      <c r="E19" s="1"/>
      <c r="F19" s="1"/>
      <c r="G19" s="1"/>
      <c r="H19" s="1"/>
    </row>
  </sheetData>
  <sheetProtection algorithmName="SHA-512" hashValue="eGfjAc/E5QSTsCQtFIHculTnqCTWiBgaXGp+BTt+scFr2q/UfWPT1S7gqd6NIjJu9+x+/HECbE4sgIq8KPCwSw==" saltValue="w6yVqKoNLuKmfGbwxzG8yA==" spinCount="100000" sheet="1" objects="1" scenarios="1"/>
  <mergeCells count="7">
    <mergeCell ref="D14:J14"/>
    <mergeCell ref="B3:D3"/>
    <mergeCell ref="C5:J5"/>
    <mergeCell ref="D7:J7"/>
    <mergeCell ref="D8:J8"/>
    <mergeCell ref="D9:E9"/>
    <mergeCell ref="D10:E10"/>
  </mergeCells>
  <pageMargins left="0.25" right="0.46" top="1.19" bottom="0.75" header="0.3" footer="0.3"/>
  <pageSetup paperSize="9" fitToWidth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ورقة3">
    <tabColor theme="5" tint="-0.249977111117893"/>
  </sheetPr>
  <dimension ref="A2:R20"/>
  <sheetViews>
    <sheetView showGridLines="0" rightToLeft="1" showWhiteSpace="0" view="pageBreakPreview" zoomScale="40" zoomScaleNormal="100" zoomScaleSheetLayoutView="40" workbookViewId="0">
      <selection activeCell="AB13" sqref="AB13"/>
    </sheetView>
  </sheetViews>
  <sheetFormatPr defaultRowHeight="12.75"/>
  <cols>
    <col min="1" max="1" width="6.875" customWidth="1"/>
    <col min="2" max="2" width="5.390625" customWidth="1"/>
    <col min="3" max="3" width="8.22265625" customWidth="1"/>
    <col min="4" max="4" width="15.5078125" customWidth="1"/>
    <col min="5" max="5" width="4.98828125" customWidth="1"/>
    <col min="6" max="6" width="12.26953125" customWidth="1"/>
    <col min="7" max="7" width="13.88671875" customWidth="1"/>
    <col min="8" max="8" width="15.23828125" customWidth="1"/>
    <col min="9" max="9" width="6.60546875" customWidth="1"/>
    <col min="10" max="10" width="6.7421875" customWidth="1"/>
    <col min="11" max="11" width="14.29296875" customWidth="1"/>
    <col min="12" max="12" width="5.390625" customWidth="1"/>
    <col min="13" max="13" width="4.44921875" customWidth="1"/>
    <col min="14" max="14" width="0.1328125" hidden="1" customWidth="1"/>
    <col min="15" max="15" width="2.55859375" hidden="1" customWidth="1"/>
    <col min="16" max="16" width="2.55859375" customWidth="1"/>
    <col min="17" max="17" width="0.80859375" customWidth="1"/>
    <col min="18" max="18" width="1.48046875" customWidth="1"/>
    <col min="19" max="19" width="6.3359375" customWidth="1"/>
  </cols>
  <sheetData>
    <row r="2" spans="1:18" ht="58.5" customHeight="1">
      <c r="A2" t="s">
        <v>23</v>
      </c>
      <c r="B2" s="16" t="s">
        <v>15</v>
      </c>
      <c r="D2" s="39"/>
      <c r="E2" s="17"/>
      <c r="F2" s="17"/>
      <c r="G2" s="17"/>
      <c r="H2" s="17"/>
      <c r="I2" s="17"/>
      <c r="J2" s="17"/>
      <c r="K2" s="16"/>
      <c r="L2" s="16"/>
      <c r="M2" s="5"/>
      <c r="N2" s="5"/>
      <c r="O2" s="5"/>
      <c r="P2" s="5"/>
      <c r="Q2" s="5"/>
      <c r="R2" s="5"/>
    </row>
    <row r="3" spans="1:18" ht="45.75" customHeight="1" thickBot="1">
      <c r="B3" s="40"/>
      <c r="D3" s="39"/>
      <c r="E3" s="18"/>
      <c r="F3" s="18"/>
      <c r="G3" s="18"/>
      <c r="H3" s="18"/>
      <c r="I3" s="18"/>
      <c r="J3" s="18"/>
      <c r="K3" s="18"/>
      <c r="L3" s="18"/>
      <c r="M3" s="5"/>
      <c r="N3" s="15"/>
      <c r="O3" s="15"/>
      <c r="P3" s="5"/>
      <c r="Q3" s="5"/>
      <c r="R3" s="5"/>
    </row>
    <row r="4" spans="1:18" ht="31.5" customHeight="1">
      <c r="B4" s="17"/>
      <c r="C4" s="17"/>
      <c r="D4" s="17"/>
      <c r="E4" s="18"/>
      <c r="F4" s="18"/>
      <c r="G4" s="18"/>
      <c r="H4" s="18"/>
      <c r="I4" s="18"/>
      <c r="J4" s="18"/>
      <c r="K4" s="18"/>
      <c r="L4" s="18"/>
      <c r="M4" s="5"/>
      <c r="N4" s="5"/>
      <c r="O4" s="5"/>
      <c r="P4" s="5"/>
      <c r="Q4" s="5"/>
      <c r="R4" s="5"/>
    </row>
    <row r="5" spans="1:18" ht="35.25" customHeight="1">
      <c r="B5" s="1"/>
      <c r="C5" s="167" t="s">
        <v>31</v>
      </c>
      <c r="D5" s="167"/>
      <c r="E5" s="167"/>
      <c r="F5" s="167"/>
      <c r="G5" s="167"/>
      <c r="H5" s="167"/>
      <c r="I5" s="167"/>
      <c r="J5" s="167"/>
      <c r="K5" s="167"/>
      <c r="L5" s="101"/>
    </row>
    <row r="6" spans="1:18" ht="35.25" customHeight="1">
      <c r="B6" s="1"/>
      <c r="C6" s="102"/>
      <c r="D6" s="102"/>
      <c r="E6" s="102"/>
      <c r="F6" s="102"/>
      <c r="G6" s="102"/>
      <c r="H6" s="102"/>
      <c r="I6" s="102"/>
      <c r="J6" s="102"/>
      <c r="K6" s="102"/>
      <c r="L6" s="102"/>
    </row>
    <row r="7" spans="1:18" ht="19.5" customHeight="1">
      <c r="B7" s="1"/>
    </row>
    <row r="8" spans="1:18" ht="44.25" customHeight="1">
      <c r="B8" s="1"/>
      <c r="C8" s="174" t="s">
        <v>25</v>
      </c>
      <c r="D8" s="174"/>
      <c r="E8" s="174" t="s">
        <v>20</v>
      </c>
      <c r="F8" s="174"/>
      <c r="G8" s="174"/>
      <c r="H8" s="174"/>
      <c r="I8" s="168" t="s">
        <v>26</v>
      </c>
      <c r="J8" s="169"/>
      <c r="K8" s="170"/>
      <c r="L8" s="98"/>
    </row>
    <row r="9" spans="1:18" ht="39" customHeight="1">
      <c r="B9" s="2"/>
      <c r="C9" s="179" t="str">
        <f>'حساب طلوع القزق'!G5</f>
        <v>فسبر3</v>
      </c>
      <c r="D9" s="179"/>
      <c r="E9" s="176" t="str">
        <f>'حساب طلوع القزق'!I5</f>
        <v>شركة فسبر جروب</v>
      </c>
      <c r="F9" s="177"/>
      <c r="G9" s="177"/>
      <c r="H9" s="178"/>
      <c r="I9" s="171">
        <f>'حساب طلوع القزق'!C5</f>
        <v>10</v>
      </c>
      <c r="J9" s="172"/>
      <c r="K9" s="173"/>
      <c r="L9" s="98"/>
      <c r="M9" s="5"/>
    </row>
    <row r="10" spans="1:18" ht="15.75" customHeight="1">
      <c r="B10" s="1"/>
      <c r="C10" s="93"/>
      <c r="D10" s="94"/>
      <c r="E10" s="94"/>
      <c r="F10" s="4"/>
      <c r="G10" s="2"/>
      <c r="H10" s="2"/>
      <c r="I10" s="2"/>
      <c r="J10" s="2"/>
      <c r="K10" s="5"/>
      <c r="L10" s="5"/>
    </row>
    <row r="11" spans="1:18" ht="30">
      <c r="B11" s="2"/>
      <c r="C11" s="93"/>
      <c r="D11" s="95"/>
      <c r="E11" s="96"/>
      <c r="F11" s="45"/>
      <c r="G11" s="2"/>
      <c r="H11" s="2"/>
      <c r="I11" s="2"/>
      <c r="J11" s="2"/>
      <c r="K11" s="5"/>
      <c r="L11" s="5"/>
      <c r="M11" s="5"/>
    </row>
    <row r="12" spans="1:18" ht="38.25" customHeight="1">
      <c r="B12" s="2"/>
      <c r="C12" s="175" t="s">
        <v>28</v>
      </c>
      <c r="D12" s="175"/>
      <c r="E12" s="175" t="s">
        <v>29</v>
      </c>
      <c r="F12" s="175"/>
      <c r="G12" s="175"/>
      <c r="H12" s="175"/>
      <c r="I12" s="174" t="s">
        <v>27</v>
      </c>
      <c r="J12" s="174"/>
      <c r="K12" s="174"/>
      <c r="L12" s="97"/>
      <c r="M12" s="5"/>
    </row>
    <row r="13" spans="1:18" ht="40.5" customHeight="1">
      <c r="B13" s="1"/>
      <c r="C13" s="179">
        <f>'حساب طلوع القزق'!E5</f>
        <v>10</v>
      </c>
      <c r="D13" s="179"/>
      <c r="E13" s="180">
        <f ca="1">TODAY()</f>
        <v>46038</v>
      </c>
      <c r="F13" s="179"/>
      <c r="G13" s="179"/>
      <c r="H13" s="179"/>
      <c r="I13" s="181">
        <f>'حساب طلوع القزق'!G16</f>
        <v>38190</v>
      </c>
      <c r="J13" s="179"/>
      <c r="K13" s="179"/>
      <c r="L13" s="52"/>
      <c r="M13" s="5"/>
    </row>
    <row r="14" spans="1:18" ht="25.5">
      <c r="B14" s="1"/>
      <c r="C14" s="93"/>
      <c r="D14" s="7"/>
      <c r="E14" s="8"/>
      <c r="F14" s="10"/>
      <c r="G14" s="12"/>
      <c r="H14" s="13"/>
      <c r="I14" s="13"/>
      <c r="J14" s="13"/>
      <c r="K14" s="9"/>
      <c r="L14" s="52"/>
    </row>
    <row r="15" spans="1:18" ht="27.75">
      <c r="B15" s="1"/>
      <c r="C15" s="99"/>
      <c r="D15" s="100"/>
      <c r="E15" s="100"/>
      <c r="F15" s="100"/>
      <c r="G15" s="100"/>
      <c r="H15" s="100"/>
      <c r="I15" s="100"/>
      <c r="J15" s="100"/>
      <c r="K15" s="100"/>
      <c r="L15" s="100"/>
      <c r="M15" s="5"/>
    </row>
    <row r="16" spans="1:18" ht="25.5">
      <c r="B16" s="1"/>
      <c r="C16" s="2"/>
      <c r="D16" s="2"/>
      <c r="E16" s="1"/>
      <c r="F16" s="2"/>
      <c r="G16" s="1"/>
      <c r="H16" s="1"/>
      <c r="I16" s="1"/>
      <c r="J16" s="1"/>
    </row>
    <row r="17" spans="2:10" ht="25.5">
      <c r="B17" s="1"/>
      <c r="C17" s="1"/>
      <c r="D17" s="1"/>
      <c r="E17" s="1"/>
      <c r="F17" s="1"/>
      <c r="G17" s="1"/>
      <c r="H17" s="1"/>
      <c r="I17" s="1"/>
      <c r="J17" s="1"/>
    </row>
    <row r="18" spans="2:10" ht="25.5">
      <c r="B18" s="1"/>
      <c r="C18" s="1"/>
      <c r="D18" s="1"/>
      <c r="E18" s="1"/>
      <c r="F18" s="1"/>
      <c r="G18" s="1"/>
      <c r="H18" s="1"/>
      <c r="I18" s="1"/>
      <c r="J18" s="1"/>
    </row>
    <row r="19" spans="2:10" ht="25.5">
      <c r="B19" s="1"/>
      <c r="C19" s="1"/>
      <c r="D19" s="1"/>
      <c r="E19" s="1"/>
      <c r="F19" s="1"/>
      <c r="G19" s="1" t="s">
        <v>15</v>
      </c>
      <c r="H19" s="1"/>
      <c r="I19" s="1"/>
      <c r="J19" s="1"/>
    </row>
    <row r="20" spans="2:10" ht="25.5">
      <c r="B20" s="1"/>
      <c r="C20" s="1"/>
      <c r="D20" s="1"/>
      <c r="E20" s="1"/>
      <c r="F20" s="1"/>
      <c r="G20" s="1"/>
      <c r="H20" s="1"/>
      <c r="I20" s="1"/>
      <c r="J20" s="1"/>
    </row>
  </sheetData>
  <mergeCells count="13">
    <mergeCell ref="C12:D12"/>
    <mergeCell ref="E12:H12"/>
    <mergeCell ref="I12:K12"/>
    <mergeCell ref="C13:D13"/>
    <mergeCell ref="E13:H13"/>
    <mergeCell ref="I13:K13"/>
    <mergeCell ref="C5:K5"/>
    <mergeCell ref="C8:D8"/>
    <mergeCell ref="E8:H8"/>
    <mergeCell ref="I8:K8"/>
    <mergeCell ref="C9:D9"/>
    <mergeCell ref="E9:H9"/>
    <mergeCell ref="I9:K9"/>
  </mergeCells>
  <pageMargins left="0.25" right="0.46" top="0.7" bottom="0.75" header="0.17" footer="0.3"/>
  <pageSetup paperSize="9" scale="86" fitToWidth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ورقة9">
    <tabColor rgb="FF00B0F0"/>
  </sheetPr>
  <dimension ref="B2:P19"/>
  <sheetViews>
    <sheetView showGridLines="0" rightToLeft="1" showWhiteSpace="0" view="pageBreakPreview" zoomScale="60" zoomScaleNormal="100" workbookViewId="0"/>
  </sheetViews>
  <sheetFormatPr defaultRowHeight="12.75"/>
  <cols>
    <col min="1" max="1" width="2.42578125" customWidth="1"/>
    <col min="2" max="2" width="3.91015625" customWidth="1"/>
    <col min="3" max="3" width="35.6015625" customWidth="1"/>
    <col min="4" max="4" width="6.3359375" customWidth="1"/>
    <col min="5" max="5" width="2.828125" customWidth="1"/>
    <col min="6" max="6" width="6.47265625" customWidth="1"/>
    <col min="7" max="7" width="2.55859375" customWidth="1"/>
    <col min="8" max="8" width="5.66015625" customWidth="1"/>
    <col min="9" max="9" width="9.9765625" customWidth="1"/>
    <col min="10" max="10" width="19.1484375" customWidth="1"/>
    <col min="11" max="11" width="4.58203125" customWidth="1"/>
    <col min="12" max="12" width="0.1328125" hidden="1" customWidth="1"/>
    <col min="13" max="13" width="2.55859375" hidden="1" customWidth="1"/>
    <col min="14" max="14" width="2.55859375" customWidth="1"/>
    <col min="15" max="15" width="0.80859375" customWidth="1"/>
    <col min="16" max="16" width="1.48046875" customWidth="1"/>
    <col min="17" max="17" width="6.3359375" customWidth="1"/>
  </cols>
  <sheetData>
    <row r="2" spans="2:16" ht="41.25" customHeight="1">
      <c r="B2" s="16"/>
      <c r="C2" s="34"/>
      <c r="D2" s="16"/>
      <c r="E2" s="16"/>
      <c r="F2" s="16"/>
      <c r="G2" s="16"/>
      <c r="H2" s="16"/>
      <c r="I2" s="16"/>
      <c r="J2" s="16"/>
      <c r="K2" s="5"/>
      <c r="L2" s="5"/>
      <c r="M2" s="5"/>
      <c r="N2" s="5"/>
      <c r="O2" s="5"/>
      <c r="P2" s="5"/>
    </row>
    <row r="3" spans="2:16" ht="51.75" customHeight="1" thickBot="1">
      <c r="B3" s="185"/>
      <c r="C3" s="185"/>
      <c r="D3" s="185"/>
      <c r="E3" s="18"/>
      <c r="F3" s="18"/>
      <c r="G3" s="18"/>
      <c r="H3" s="18"/>
      <c r="I3" s="18"/>
      <c r="J3" s="18"/>
      <c r="K3" s="5"/>
      <c r="L3" s="15"/>
      <c r="M3" s="15"/>
      <c r="N3" s="5"/>
      <c r="O3" s="5"/>
      <c r="P3" s="5"/>
    </row>
    <row r="4" spans="2:16" ht="18.75" customHeight="1">
      <c r="B4" s="17"/>
      <c r="C4" s="17"/>
      <c r="D4" s="17"/>
      <c r="E4" s="18"/>
      <c r="F4" s="18"/>
      <c r="G4" s="18"/>
      <c r="H4" s="18"/>
      <c r="I4" s="18"/>
      <c r="J4" s="18"/>
      <c r="K4" s="5"/>
      <c r="L4" s="5"/>
      <c r="M4" s="5"/>
      <c r="N4" s="5"/>
      <c r="O4" s="5"/>
      <c r="P4" s="5"/>
    </row>
    <row r="5" spans="2:16" ht="35.25" customHeight="1">
      <c r="B5" s="1"/>
      <c r="C5" s="186" t="s">
        <v>49</v>
      </c>
      <c r="D5" s="186"/>
      <c r="E5" s="186"/>
      <c r="F5" s="186"/>
      <c r="G5" s="186"/>
      <c r="H5" s="186"/>
      <c r="I5" s="186"/>
      <c r="J5" s="186"/>
    </row>
    <row r="6" spans="2:16" ht="19.5" customHeight="1" thickBot="1">
      <c r="B6" s="1"/>
    </row>
    <row r="7" spans="2:16" ht="27" thickTop="1" thickBot="1">
      <c r="B7" s="1"/>
      <c r="C7" s="41" t="s">
        <v>6</v>
      </c>
      <c r="D7" s="187" t="str">
        <f>'حساب طلوع القزق'!G5</f>
        <v>فسبر3</v>
      </c>
      <c r="E7" s="188"/>
      <c r="F7" s="188"/>
      <c r="G7" s="188"/>
      <c r="H7" s="188"/>
      <c r="I7" s="188"/>
      <c r="J7" s="189"/>
    </row>
    <row r="8" spans="2:16" ht="27" thickTop="1" thickBot="1">
      <c r="B8" s="21"/>
      <c r="C8" s="53" t="s">
        <v>7</v>
      </c>
      <c r="D8" s="190" t="str">
        <f>'حساب طلوع القزق'!I5</f>
        <v>شركة فسبر جروب</v>
      </c>
      <c r="E8" s="191"/>
      <c r="F8" s="191"/>
      <c r="G8" s="191"/>
      <c r="H8" s="191"/>
      <c r="I8" s="191"/>
      <c r="J8" s="192"/>
      <c r="K8" s="20"/>
    </row>
    <row r="9" spans="2:16" ht="29.25" thickTop="1" thickBot="1">
      <c r="B9" s="1"/>
      <c r="C9" s="54" t="s">
        <v>8</v>
      </c>
      <c r="D9" s="193">
        <f>'حساب طلوع القزق'!C5</f>
        <v>10</v>
      </c>
      <c r="E9" s="194"/>
      <c r="F9" s="4" t="s">
        <v>12</v>
      </c>
      <c r="G9" s="2"/>
      <c r="H9" s="22"/>
      <c r="I9" s="23"/>
      <c r="J9" s="24"/>
    </row>
    <row r="10" spans="2:16" ht="31.5" thickTop="1" thickBot="1">
      <c r="B10" s="21"/>
      <c r="C10" s="41" t="s">
        <v>0</v>
      </c>
      <c r="D10" s="195">
        <f>'حساب طلوع القزق'!E5</f>
        <v>10</v>
      </c>
      <c r="E10" s="196"/>
      <c r="F10" s="19" t="s">
        <v>9</v>
      </c>
      <c r="G10" s="26"/>
      <c r="H10" s="2"/>
      <c r="I10" s="20"/>
      <c r="J10" s="25"/>
      <c r="K10" s="20"/>
    </row>
    <row r="11" spans="2:16" ht="27" thickTop="1" thickBot="1">
      <c r="B11" s="21"/>
      <c r="C11" s="41" t="s">
        <v>1</v>
      </c>
      <c r="D11" s="32">
        <f>'حساب طلوع القزق'!C5</f>
        <v>10</v>
      </c>
      <c r="E11" s="8" t="s">
        <v>13</v>
      </c>
      <c r="F11" s="28">
        <f>'حساب طلوع القزق'!C9</f>
        <v>250</v>
      </c>
      <c r="G11" s="27"/>
      <c r="H11" s="36"/>
      <c r="I11" s="37" t="s">
        <v>16</v>
      </c>
      <c r="J11" s="35">
        <f>'حساب طلوع القزق'!G11</f>
        <v>2500</v>
      </c>
      <c r="K11" s="20"/>
    </row>
    <row r="12" spans="2:16" ht="27" thickTop="1" thickBot="1">
      <c r="B12" s="1"/>
      <c r="C12" s="51" t="s">
        <v>2</v>
      </c>
      <c r="D12" s="31">
        <f>D9</f>
        <v>10</v>
      </c>
      <c r="E12" s="8" t="s">
        <v>13</v>
      </c>
      <c r="F12" s="7">
        <f>'حساب طلوع القزق'!G9</f>
        <v>300</v>
      </c>
      <c r="G12" s="11" t="s">
        <v>13</v>
      </c>
      <c r="H12" s="6">
        <f>D10</f>
        <v>10</v>
      </c>
      <c r="I12" s="9" t="s">
        <v>14</v>
      </c>
      <c r="J12" s="29">
        <f>'حساب طلوع القزق'!G12</f>
        <v>30000</v>
      </c>
      <c r="K12" s="20"/>
    </row>
    <row r="13" spans="2:16" ht="27" thickTop="1" thickBot="1">
      <c r="B13" s="1"/>
      <c r="C13" s="41" t="s">
        <v>3</v>
      </c>
      <c r="D13" s="30">
        <v>100</v>
      </c>
      <c r="E13" s="8" t="s">
        <v>13</v>
      </c>
      <c r="F13" s="10">
        <f>D10</f>
        <v>10</v>
      </c>
      <c r="G13" s="12"/>
      <c r="H13" s="13"/>
      <c r="I13" s="9" t="s">
        <v>14</v>
      </c>
      <c r="J13" s="29">
        <f>'حساب طلوع القزق'!E13</f>
        <v>1000</v>
      </c>
    </row>
    <row r="14" spans="2:16" ht="29.25" thickTop="1" thickBot="1">
      <c r="B14" s="1"/>
      <c r="C14" s="55" t="s">
        <v>5</v>
      </c>
      <c r="D14" s="182">
        <f>'حساب طلوع القزق'!G16</f>
        <v>38190</v>
      </c>
      <c r="E14" s="183"/>
      <c r="F14" s="183"/>
      <c r="G14" s="183"/>
      <c r="H14" s="183"/>
      <c r="I14" s="183"/>
      <c r="J14" s="184"/>
      <c r="K14" s="20"/>
    </row>
    <row r="15" spans="2:16" ht="26.25" thickTop="1">
      <c r="B15" s="1"/>
      <c r="C15" s="26"/>
      <c r="D15" s="2"/>
      <c r="E15" s="1"/>
      <c r="F15" s="2"/>
      <c r="G15" s="1"/>
      <c r="H15" s="1"/>
    </row>
    <row r="16" spans="2:16" ht="25.5">
      <c r="B16" s="1"/>
      <c r="C16" s="1"/>
      <c r="D16" s="1"/>
      <c r="E16" s="1"/>
      <c r="F16" s="1"/>
      <c r="G16" s="1"/>
      <c r="H16" s="1"/>
    </row>
    <row r="17" spans="2:8" ht="25.5">
      <c r="B17" s="1"/>
      <c r="C17" s="1"/>
      <c r="D17" s="1"/>
      <c r="E17" s="1"/>
      <c r="F17" s="1"/>
      <c r="G17" s="1"/>
      <c r="H17" s="1"/>
    </row>
    <row r="18" spans="2:8" ht="25.5">
      <c r="B18" s="1"/>
      <c r="C18" s="1"/>
      <c r="D18" s="1"/>
      <c r="E18" s="1"/>
      <c r="F18" s="1"/>
      <c r="G18" s="1"/>
      <c r="H18" s="1"/>
    </row>
    <row r="19" spans="2:8" ht="25.5">
      <c r="B19" s="1"/>
      <c r="C19" s="1"/>
      <c r="D19" s="1"/>
      <c r="E19" s="1"/>
      <c r="F19" s="1"/>
      <c r="G19" s="1"/>
      <c r="H19" s="1"/>
    </row>
  </sheetData>
  <sheetProtection algorithmName="SHA-512" hashValue="ML8/9jFn5sIjsO6XJkD/qCO6WThlE09fSL8SIAlNBu/d6pJF68tjLelCawPI7YT3MVp7bPBpOtKX4Fc3a0L4vw==" saltValue="vLvwW20OtK2zyA8qaJoM3g==" spinCount="100000" sheet="1" objects="1" scenarios="1"/>
  <mergeCells count="7">
    <mergeCell ref="D14:J14"/>
    <mergeCell ref="B3:D3"/>
    <mergeCell ref="C5:J5"/>
    <mergeCell ref="D7:J7"/>
    <mergeCell ref="D8:J8"/>
    <mergeCell ref="D9:E9"/>
    <mergeCell ref="D10:E10"/>
  </mergeCells>
  <pageMargins left="0.25" right="0.46" top="1.19" bottom="0.75" header="0.3" footer="0.3"/>
  <pageSetup paperSize="9" fitToWidth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ورقة10">
    <tabColor theme="5" tint="-0.249977111117893"/>
  </sheetPr>
  <dimension ref="A2:R20"/>
  <sheetViews>
    <sheetView showGridLines="0" rightToLeft="1" showWhiteSpace="0" view="pageBreakPreview" zoomScale="40" zoomScaleNormal="100" zoomScaleSheetLayoutView="40" workbookViewId="0">
      <selection activeCell="D28" sqref="D28"/>
    </sheetView>
  </sheetViews>
  <sheetFormatPr defaultRowHeight="12.75"/>
  <cols>
    <col min="1" max="1" width="4.58203125" customWidth="1"/>
    <col min="2" max="2" width="5.390625" customWidth="1"/>
    <col min="3" max="3" width="8.22265625" customWidth="1"/>
    <col min="4" max="4" width="15.5078125" customWidth="1"/>
    <col min="5" max="5" width="4.98828125" customWidth="1"/>
    <col min="6" max="6" width="12.26953125" customWidth="1"/>
    <col min="7" max="7" width="13.88671875" customWidth="1"/>
    <col min="8" max="8" width="15.23828125" customWidth="1"/>
    <col min="9" max="9" width="6.60546875" customWidth="1"/>
    <col min="10" max="10" width="6.7421875" customWidth="1"/>
    <col min="11" max="11" width="14.29296875" customWidth="1"/>
    <col min="12" max="12" width="5.390625" customWidth="1"/>
    <col min="13" max="13" width="4.44921875" customWidth="1"/>
    <col min="14" max="14" width="0.1328125" hidden="1" customWidth="1"/>
    <col min="15" max="15" width="2.55859375" hidden="1" customWidth="1"/>
    <col min="16" max="16" width="2.55859375" customWidth="1"/>
    <col min="17" max="17" width="0.80859375" customWidth="1"/>
    <col min="18" max="18" width="1.48046875" customWidth="1"/>
    <col min="19" max="19" width="6.3359375" customWidth="1"/>
  </cols>
  <sheetData>
    <row r="2" spans="1:18" ht="58.5" customHeight="1">
      <c r="A2" t="s">
        <v>23</v>
      </c>
      <c r="B2" s="16" t="s">
        <v>15</v>
      </c>
      <c r="D2" s="39"/>
      <c r="E2" s="17"/>
      <c r="F2" s="17"/>
      <c r="G2" s="17"/>
      <c r="H2" s="17"/>
      <c r="I2" s="17"/>
      <c r="J2" s="17"/>
      <c r="K2" s="16"/>
      <c r="L2" s="16"/>
      <c r="M2" s="5"/>
      <c r="N2" s="5"/>
      <c r="O2" s="5"/>
      <c r="P2" s="5"/>
      <c r="Q2" s="5"/>
      <c r="R2" s="5"/>
    </row>
    <row r="3" spans="1:18" ht="45.75" customHeight="1" thickBot="1">
      <c r="B3" s="40"/>
      <c r="D3" s="39"/>
      <c r="E3" s="18"/>
      <c r="F3" s="18"/>
      <c r="G3" s="18"/>
      <c r="H3" s="18"/>
      <c r="I3" s="18"/>
      <c r="J3" s="18"/>
      <c r="K3" s="18"/>
      <c r="L3" s="18"/>
      <c r="M3" s="5"/>
      <c r="N3" s="15"/>
      <c r="O3" s="15"/>
      <c r="P3" s="5"/>
      <c r="Q3" s="5"/>
      <c r="R3" s="5"/>
    </row>
    <row r="4" spans="1:18" ht="31.5" customHeight="1">
      <c r="B4" s="17"/>
      <c r="C4" s="17"/>
      <c r="D4" s="17"/>
      <c r="E4" s="18"/>
      <c r="F4" s="18"/>
      <c r="G4" s="18"/>
      <c r="H4" s="18"/>
      <c r="I4" s="18"/>
      <c r="J4" s="18"/>
      <c r="K4" s="18"/>
      <c r="L4" s="18"/>
      <c r="M4" s="5"/>
      <c r="N4" s="5"/>
      <c r="O4" s="5"/>
      <c r="P4" s="5"/>
      <c r="Q4" s="5"/>
      <c r="R4" s="5"/>
    </row>
    <row r="5" spans="1:18" ht="35.25" customHeight="1">
      <c r="B5" s="1"/>
      <c r="C5" s="167" t="s">
        <v>34</v>
      </c>
      <c r="D5" s="167"/>
      <c r="E5" s="167"/>
      <c r="F5" s="167"/>
      <c r="G5" s="167"/>
      <c r="H5" s="167"/>
      <c r="I5" s="167"/>
      <c r="J5" s="167"/>
      <c r="K5" s="167"/>
      <c r="L5" s="101"/>
    </row>
    <row r="6" spans="1:18" ht="35.25" customHeight="1">
      <c r="B6" s="1"/>
      <c r="C6" s="102"/>
      <c r="D6" s="102"/>
      <c r="E6" s="102"/>
      <c r="F6" s="102"/>
      <c r="G6" s="102"/>
      <c r="H6" s="102"/>
      <c r="I6" s="102"/>
      <c r="J6" s="102"/>
      <c r="K6" s="102"/>
      <c r="L6" s="102"/>
    </row>
    <row r="7" spans="1:18" ht="19.5" customHeight="1">
      <c r="B7" s="1"/>
    </row>
    <row r="8" spans="1:18" ht="44.25" customHeight="1">
      <c r="B8" s="1"/>
      <c r="C8" s="174" t="s">
        <v>25</v>
      </c>
      <c r="D8" s="174"/>
      <c r="E8" s="174" t="s">
        <v>20</v>
      </c>
      <c r="F8" s="174"/>
      <c r="G8" s="174"/>
      <c r="H8" s="174"/>
      <c r="I8" s="168" t="s">
        <v>26</v>
      </c>
      <c r="J8" s="169"/>
      <c r="K8" s="170"/>
      <c r="L8" s="98"/>
    </row>
    <row r="9" spans="1:18" ht="39" customHeight="1">
      <c r="B9" s="2"/>
      <c r="C9" s="179" t="e">
        <f>#REF!</f>
        <v>#REF!</v>
      </c>
      <c r="D9" s="179"/>
      <c r="E9" s="176" t="e">
        <f>#REF!</f>
        <v>#REF!</v>
      </c>
      <c r="F9" s="177"/>
      <c r="G9" s="177"/>
      <c r="H9" s="178"/>
      <c r="I9" s="197" t="e">
        <f>#REF!</f>
        <v>#REF!</v>
      </c>
      <c r="J9" s="172"/>
      <c r="K9" s="173"/>
      <c r="L9" s="98"/>
      <c r="M9" s="5"/>
    </row>
    <row r="10" spans="1:18" ht="15.75" customHeight="1">
      <c r="B10" s="1"/>
      <c r="C10" s="93"/>
      <c r="D10" s="94"/>
      <c r="E10" s="94"/>
      <c r="F10" s="4"/>
      <c r="G10" s="2"/>
      <c r="H10" s="2"/>
      <c r="I10" s="2"/>
      <c r="J10" s="2"/>
      <c r="K10" s="5"/>
      <c r="L10" s="5"/>
    </row>
    <row r="11" spans="1:18" ht="30">
      <c r="B11" s="2"/>
      <c r="C11" s="93"/>
      <c r="D11" s="95"/>
      <c r="E11" s="96"/>
      <c r="F11" s="45"/>
      <c r="G11" s="2"/>
      <c r="H11" s="2"/>
      <c r="I11" s="2"/>
      <c r="J11" s="2"/>
      <c r="K11" s="5"/>
      <c r="L11" s="5"/>
      <c r="M11" s="5"/>
    </row>
    <row r="12" spans="1:18" ht="38.25" customHeight="1">
      <c r="B12" s="2"/>
      <c r="C12" s="175" t="s">
        <v>28</v>
      </c>
      <c r="D12" s="175"/>
      <c r="E12" s="175" t="s">
        <v>29</v>
      </c>
      <c r="F12" s="175"/>
      <c r="G12" s="175"/>
      <c r="H12" s="175"/>
      <c r="I12" s="174" t="s">
        <v>27</v>
      </c>
      <c r="J12" s="174"/>
      <c r="K12" s="174"/>
      <c r="L12" s="97"/>
      <c r="M12" s="5"/>
    </row>
    <row r="13" spans="1:18" ht="40.5" customHeight="1">
      <c r="B13" s="1"/>
      <c r="C13" s="181" t="e">
        <f>#REF!</f>
        <v>#REF!</v>
      </c>
      <c r="D13" s="179"/>
      <c r="E13" s="180">
        <f ca="1">TODAY()</f>
        <v>46038</v>
      </c>
      <c r="F13" s="179"/>
      <c r="G13" s="179"/>
      <c r="H13" s="179"/>
      <c r="I13" s="181" t="e">
        <f>#REF!</f>
        <v>#REF!</v>
      </c>
      <c r="J13" s="179"/>
      <c r="K13" s="179"/>
      <c r="L13" s="52"/>
      <c r="M13" s="5"/>
    </row>
    <row r="14" spans="1:18" ht="25.5">
      <c r="B14" s="1"/>
      <c r="C14" s="93"/>
      <c r="D14" s="7"/>
      <c r="E14" s="8"/>
      <c r="F14" s="10"/>
      <c r="G14" s="12"/>
      <c r="H14" s="13"/>
      <c r="I14" s="13"/>
      <c r="J14" s="13"/>
      <c r="K14" s="9"/>
      <c r="L14" s="52"/>
    </row>
    <row r="15" spans="1:18" ht="27.75">
      <c r="B15" s="1"/>
      <c r="C15" s="99"/>
      <c r="D15" s="100"/>
      <c r="E15" s="100"/>
      <c r="F15" s="100"/>
      <c r="G15" s="100"/>
      <c r="H15" s="100"/>
      <c r="I15" s="100"/>
      <c r="J15" s="100"/>
      <c r="K15" s="100"/>
      <c r="L15" s="100"/>
      <c r="M15" s="5"/>
    </row>
    <row r="16" spans="1:18" ht="25.5">
      <c r="B16" s="1"/>
      <c r="C16" s="2"/>
      <c r="D16" s="2"/>
      <c r="E16" s="1"/>
      <c r="F16" s="2"/>
      <c r="G16" s="1"/>
      <c r="H16" s="1"/>
      <c r="I16" s="1"/>
      <c r="J16" s="1"/>
    </row>
    <row r="17" spans="2:10" ht="25.5">
      <c r="B17" s="1"/>
      <c r="C17" s="1"/>
      <c r="D17" s="1"/>
      <c r="E17" s="1"/>
      <c r="F17" s="1"/>
      <c r="G17" s="1"/>
      <c r="H17" s="1"/>
      <c r="I17" s="1"/>
      <c r="J17" s="1"/>
    </row>
    <row r="18" spans="2:10" ht="25.5">
      <c r="B18" s="1"/>
      <c r="C18" s="1"/>
      <c r="D18" s="1"/>
      <c r="E18" s="1"/>
      <c r="F18" s="1"/>
      <c r="G18" s="1"/>
      <c r="H18" s="1"/>
      <c r="I18" s="1"/>
      <c r="J18" s="1"/>
    </row>
    <row r="19" spans="2:10" ht="25.5">
      <c r="B19" s="1"/>
      <c r="C19" s="1"/>
      <c r="D19" s="1"/>
      <c r="E19" s="1"/>
      <c r="F19" s="1"/>
      <c r="G19" s="1" t="s">
        <v>15</v>
      </c>
      <c r="H19" s="1"/>
      <c r="I19" s="1"/>
      <c r="J19" s="1"/>
    </row>
    <row r="20" spans="2:10" ht="25.5">
      <c r="B20" s="1"/>
      <c r="C20" s="1"/>
      <c r="D20" s="1"/>
      <c r="E20" s="1"/>
      <c r="F20" s="1"/>
      <c r="G20" s="1"/>
      <c r="H20" s="1"/>
      <c r="I20" s="1"/>
      <c r="J20" s="1"/>
    </row>
  </sheetData>
  <sheetProtection algorithmName="SHA-512" hashValue="W/FJdu9IHcN9DnIYoBjlS4GBzIsqiRmCDPxeUaH66CuQV5dIpxFOGBqs1nicYb14FYmujeR2gOEkqxUbmQtnIw==" saltValue="vexKvICY/emLjTQAp6rflw==" spinCount="100000" sheet="1" objects="1" scenarios="1"/>
  <mergeCells count="13">
    <mergeCell ref="C12:D12"/>
    <mergeCell ref="E12:H12"/>
    <mergeCell ref="I12:K12"/>
    <mergeCell ref="C13:D13"/>
    <mergeCell ref="E13:H13"/>
    <mergeCell ref="I13:K13"/>
    <mergeCell ref="C5:K5"/>
    <mergeCell ref="C8:D8"/>
    <mergeCell ref="E8:H8"/>
    <mergeCell ref="I8:K8"/>
    <mergeCell ref="C9:D9"/>
    <mergeCell ref="E9:H9"/>
    <mergeCell ref="I9:K9"/>
  </mergeCells>
  <pageMargins left="0.25" right="0.46" top="0.7" bottom="0.75" header="0.17" footer="0.3"/>
  <pageSetup paperSize="9" scale="86" fitToWidth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ورقة4">
    <tabColor rgb="FFC00000"/>
  </sheetPr>
  <dimension ref="B2:P20"/>
  <sheetViews>
    <sheetView showGridLines="0" rightToLeft="1" showWhiteSpace="0" view="pageBreakPreview" zoomScale="60" zoomScaleNormal="100" workbookViewId="0"/>
  </sheetViews>
  <sheetFormatPr defaultRowHeight="12.75"/>
  <cols>
    <col min="1" max="1" width="3.37109375" customWidth="1"/>
    <col min="2" max="2" width="4.71875" customWidth="1"/>
    <col min="3" max="3" width="44.90625" customWidth="1"/>
    <col min="4" max="4" width="6.3359375" customWidth="1"/>
    <col min="5" max="5" width="3.7734375" customWidth="1"/>
    <col min="6" max="6" width="6.47265625" customWidth="1"/>
    <col min="7" max="7" width="2.55859375" customWidth="1"/>
    <col min="8" max="8" width="7.953125" customWidth="1"/>
    <col min="9" max="9" width="2.42578125" customWidth="1"/>
    <col min="10" max="10" width="24.8125" customWidth="1"/>
    <col min="11" max="11" width="2.42578125" customWidth="1"/>
    <col min="12" max="12" width="0.1328125" hidden="1" customWidth="1"/>
    <col min="13" max="13" width="2.55859375" hidden="1" customWidth="1"/>
    <col min="14" max="14" width="2.55859375" customWidth="1"/>
    <col min="15" max="15" width="0.80859375" customWidth="1"/>
    <col min="16" max="16" width="1.48046875" customWidth="1"/>
    <col min="17" max="17" width="6.3359375" customWidth="1"/>
  </cols>
  <sheetData>
    <row r="2" spans="2:16" ht="72" customHeight="1">
      <c r="B2" s="200"/>
      <c r="C2" s="200"/>
      <c r="D2" s="200"/>
      <c r="E2" s="200"/>
      <c r="F2" s="200"/>
      <c r="G2" s="200"/>
      <c r="H2" s="200"/>
      <c r="I2" s="200"/>
      <c r="J2" s="200"/>
    </row>
    <row r="3" spans="2:16" ht="43.5" customHeight="1">
      <c r="B3" s="201"/>
      <c r="C3" s="201"/>
      <c r="D3" s="201"/>
      <c r="E3" s="201"/>
      <c r="F3" s="201"/>
      <c r="G3" s="201"/>
      <c r="H3" s="201"/>
      <c r="I3" s="201"/>
      <c r="J3" s="201"/>
    </row>
    <row r="4" spans="2:16" ht="42" customHeight="1">
      <c r="B4" s="112"/>
      <c r="C4" s="202" t="s">
        <v>22</v>
      </c>
      <c r="D4" s="202"/>
      <c r="E4" s="202"/>
      <c r="F4" s="202"/>
      <c r="G4" s="202"/>
      <c r="H4" s="202"/>
      <c r="I4" s="202"/>
      <c r="J4" s="202"/>
      <c r="K4" s="56"/>
      <c r="L4" s="56"/>
      <c r="M4" s="56"/>
      <c r="N4" s="111"/>
      <c r="O4" s="111"/>
      <c r="P4" s="111"/>
    </row>
    <row r="5" spans="2:16" ht="28.5" customHeight="1" thickBot="1">
      <c r="B5" s="1"/>
      <c r="C5" s="206" t="s">
        <v>19</v>
      </c>
      <c r="D5" s="206"/>
      <c r="E5" s="206"/>
      <c r="F5" s="206"/>
      <c r="G5" s="206"/>
      <c r="H5" s="206"/>
      <c r="I5" s="206"/>
      <c r="J5" s="206"/>
    </row>
    <row r="6" spans="2:16" ht="33" customHeight="1" thickTop="1" thickBot="1">
      <c r="B6" s="1"/>
      <c r="C6" s="41" t="s">
        <v>6</v>
      </c>
      <c r="D6" s="203" t="str">
        <f>'حساب طلوع القزق'!G5</f>
        <v>فسبر3</v>
      </c>
      <c r="E6" s="204"/>
      <c r="F6" s="204"/>
      <c r="G6" s="204"/>
      <c r="H6" s="204"/>
      <c r="I6" s="204"/>
      <c r="J6" s="205"/>
    </row>
    <row r="7" spans="2:16" ht="32.25" customHeight="1" thickTop="1" thickBot="1">
      <c r="B7" s="21"/>
      <c r="C7" s="41" t="s">
        <v>7</v>
      </c>
      <c r="D7" s="198" t="str">
        <f>'حساب طلوع القزق'!I5</f>
        <v>شركة فسبر جروب</v>
      </c>
      <c r="E7" s="198"/>
      <c r="F7" s="198"/>
      <c r="G7" s="198"/>
      <c r="H7" s="198"/>
      <c r="I7" s="198"/>
      <c r="J7" s="199"/>
    </row>
    <row r="8" spans="2:16" ht="30" customHeight="1" thickTop="1" thickBot="1">
      <c r="B8" s="21"/>
      <c r="C8" s="44" t="s">
        <v>8</v>
      </c>
      <c r="D8" s="193">
        <f>'حساب طلوع القزق'!C5</f>
        <v>10</v>
      </c>
      <c r="E8" s="194"/>
      <c r="F8" s="49" t="s">
        <v>12</v>
      </c>
      <c r="G8" s="26"/>
      <c r="H8" s="26"/>
      <c r="I8" s="50"/>
      <c r="J8" s="24"/>
    </row>
    <row r="9" spans="2:16" ht="30.75" customHeight="1" thickTop="1" thickBot="1">
      <c r="B9" s="21"/>
      <c r="C9" s="41" t="s">
        <v>0</v>
      </c>
      <c r="D9" s="212">
        <f>'حساب طلوع القزق'!E5</f>
        <v>10</v>
      </c>
      <c r="E9" s="213"/>
      <c r="F9" s="45" t="s">
        <v>9</v>
      </c>
      <c r="G9" s="2"/>
      <c r="H9" s="2"/>
      <c r="I9" s="5"/>
      <c r="J9" s="25"/>
    </row>
    <row r="10" spans="2:16" ht="39" customHeight="1" thickTop="1" thickBot="1">
      <c r="B10" s="21"/>
      <c r="C10" s="103" t="s">
        <v>32</v>
      </c>
      <c r="D10" s="193">
        <f>'حساب طلوع القزق'!I9</f>
        <v>1200</v>
      </c>
      <c r="E10" s="194"/>
      <c r="F10" s="194"/>
      <c r="G10" s="194"/>
      <c r="H10" s="194"/>
      <c r="I10" s="194"/>
      <c r="J10" s="105"/>
    </row>
    <row r="11" spans="2:16" ht="32.25" customHeight="1" thickTop="1" thickBot="1">
      <c r="B11" s="21"/>
      <c r="C11" s="104" t="s">
        <v>21</v>
      </c>
      <c r="D11" s="106"/>
      <c r="E11" s="211">
        <f>D8</f>
        <v>10</v>
      </c>
      <c r="F11" s="211"/>
      <c r="G11" s="46" t="s">
        <v>13</v>
      </c>
      <c r="H11" s="91">
        <f>'حساب طلوع القزق'!C9</f>
        <v>250</v>
      </c>
      <c r="I11" s="47" t="s">
        <v>16</v>
      </c>
      <c r="J11" s="48">
        <f>E11*H11/2</f>
        <v>1250</v>
      </c>
    </row>
    <row r="12" spans="2:16" ht="31.5" customHeight="1" thickTop="1" thickBot="1">
      <c r="B12" s="21"/>
      <c r="C12" s="54" t="s">
        <v>2</v>
      </c>
      <c r="D12" s="210">
        <f>D9</f>
        <v>10</v>
      </c>
      <c r="E12" s="211"/>
      <c r="F12" s="211"/>
      <c r="G12" s="11" t="s">
        <v>13</v>
      </c>
      <c r="H12" s="14">
        <f>D10</f>
        <v>1200</v>
      </c>
      <c r="I12" s="9" t="s">
        <v>14</v>
      </c>
      <c r="J12" s="42">
        <f>D12*H12</f>
        <v>12000</v>
      </c>
    </row>
    <row r="13" spans="2:16" ht="36" customHeight="1" thickTop="1" thickBot="1">
      <c r="B13" s="21"/>
      <c r="C13" s="104" t="s">
        <v>3</v>
      </c>
      <c r="D13" s="107"/>
      <c r="E13" s="214">
        <v>100</v>
      </c>
      <c r="F13" s="214"/>
      <c r="G13" s="108" t="s">
        <v>13</v>
      </c>
      <c r="H13" s="110">
        <f>D12</f>
        <v>10</v>
      </c>
      <c r="I13" s="109" t="s">
        <v>14</v>
      </c>
      <c r="J13" s="43">
        <f>E13*H13</f>
        <v>1000</v>
      </c>
    </row>
    <row r="14" spans="2:16" ht="43.5" customHeight="1" thickTop="1" thickBot="1">
      <c r="B14" s="21"/>
      <c r="C14" s="33" t="s">
        <v>5</v>
      </c>
      <c r="D14" s="207">
        <f>'حساب طلوع القزق'!I16</f>
        <v>16245</v>
      </c>
      <c r="E14" s="208"/>
      <c r="F14" s="208"/>
      <c r="G14" s="208"/>
      <c r="H14" s="208"/>
      <c r="I14" s="208"/>
      <c r="J14" s="209"/>
    </row>
    <row r="15" spans="2:16" ht="26.25" thickTop="1">
      <c r="B15" s="1"/>
      <c r="C15" s="38" t="e">
        <f>#REF!</f>
        <v>#REF!</v>
      </c>
      <c r="D15" s="1"/>
      <c r="E15" s="1"/>
      <c r="F15" s="1"/>
      <c r="G15" s="1"/>
      <c r="H15" s="1"/>
      <c r="J15" t="s">
        <v>15</v>
      </c>
    </row>
    <row r="16" spans="2:16" ht="25.5">
      <c r="B16" s="1"/>
      <c r="C16" s="1"/>
      <c r="D16" s="1"/>
      <c r="E16" s="1"/>
      <c r="F16" s="1"/>
      <c r="G16" s="1"/>
      <c r="H16" s="1"/>
    </row>
    <row r="17" spans="2:9" ht="25.5">
      <c r="B17" s="1"/>
      <c r="C17" s="1"/>
      <c r="D17" s="1"/>
      <c r="E17" s="1"/>
      <c r="F17" s="1"/>
      <c r="G17" s="1"/>
      <c r="H17" s="1"/>
      <c r="I17" s="5"/>
    </row>
    <row r="18" spans="2:9" ht="25.5">
      <c r="B18" s="1"/>
      <c r="C18" s="1"/>
      <c r="D18" s="1"/>
      <c r="E18" s="1"/>
      <c r="F18" s="1"/>
      <c r="G18" s="1"/>
      <c r="H18" s="1"/>
    </row>
    <row r="19" spans="2:9" ht="25.5">
      <c r="B19" s="1"/>
      <c r="C19" s="1"/>
      <c r="D19" s="1"/>
      <c r="E19" s="1"/>
      <c r="F19" s="1"/>
      <c r="G19" s="1"/>
      <c r="H19" s="1"/>
    </row>
    <row r="20" spans="2:9" ht="25.5">
      <c r="B20" s="1"/>
    </row>
  </sheetData>
  <sheetProtection algorithmName="SHA-512" hashValue="Kipt8CD63MPbfX+qtFINGUeq896eC3l6TFhOvDkqeWOFBLVCKe2i0vRWCHXbdbK/KbAorx9KVjKNcLhKNjY7vg==" saltValue="HchV3Bz1Kv/OzyiXwwrs2Q==" spinCount="100000" sheet="1" objects="1" scenarios="1"/>
  <mergeCells count="13">
    <mergeCell ref="D14:J14"/>
    <mergeCell ref="D12:F12"/>
    <mergeCell ref="E11:F11"/>
    <mergeCell ref="D8:E8"/>
    <mergeCell ref="D9:E9"/>
    <mergeCell ref="D10:I10"/>
    <mergeCell ref="E13:F13"/>
    <mergeCell ref="D7:J7"/>
    <mergeCell ref="B2:J2"/>
    <mergeCell ref="B3:J3"/>
    <mergeCell ref="C4:J4"/>
    <mergeCell ref="D6:J6"/>
    <mergeCell ref="C5:J5"/>
  </mergeCells>
  <pageMargins left="0.7" right="0.62" top="0.75" bottom="0.75" header="0.3" footer="0.3"/>
  <pageSetup paperSize="9" scale="79" fitToWidth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ورقة11">
    <tabColor theme="5" tint="-0.249977111117893"/>
  </sheetPr>
  <dimension ref="A2:R21"/>
  <sheetViews>
    <sheetView showGridLines="0" rightToLeft="1" showWhiteSpace="0" view="pageBreakPreview" zoomScale="60" zoomScaleNormal="100" workbookViewId="0"/>
  </sheetViews>
  <sheetFormatPr defaultRowHeight="12.75"/>
  <cols>
    <col min="1" max="1" width="6.875" customWidth="1"/>
    <col min="2" max="2" width="5.390625" customWidth="1"/>
    <col min="3" max="3" width="6.3359375" customWidth="1"/>
    <col min="4" max="4" width="12" customWidth="1"/>
    <col min="5" max="5" width="4.98828125" customWidth="1"/>
    <col min="6" max="6" width="10.24609375" customWidth="1"/>
    <col min="7" max="7" width="11.4609375" customWidth="1"/>
    <col min="8" max="8" width="12.40625" customWidth="1"/>
    <col min="9" max="10" width="10.515625" customWidth="1"/>
    <col min="11" max="11" width="9.16796875" customWidth="1"/>
    <col min="12" max="12" width="5.390625" customWidth="1"/>
    <col min="13" max="13" width="4.44921875" customWidth="1"/>
    <col min="14" max="14" width="0.1328125" hidden="1" customWidth="1"/>
    <col min="15" max="15" width="2.55859375" hidden="1" customWidth="1"/>
    <col min="16" max="16" width="2.55859375" customWidth="1"/>
    <col min="17" max="17" width="0.80859375" customWidth="1"/>
    <col min="18" max="18" width="1.48046875" customWidth="1"/>
    <col min="19" max="19" width="6.3359375" customWidth="1"/>
  </cols>
  <sheetData>
    <row r="2" spans="1:18" ht="58.5" customHeight="1">
      <c r="A2" t="s">
        <v>23</v>
      </c>
      <c r="B2" s="16" t="s">
        <v>15</v>
      </c>
      <c r="D2" s="39"/>
      <c r="E2" s="17"/>
      <c r="F2" s="17"/>
      <c r="G2" s="17"/>
      <c r="H2" s="17"/>
      <c r="I2" s="17"/>
      <c r="J2" s="17"/>
      <c r="K2" s="16"/>
      <c r="L2" s="16"/>
      <c r="M2" s="5"/>
      <c r="N2" s="5"/>
      <c r="O2" s="5"/>
      <c r="P2" s="5"/>
      <c r="Q2" s="5"/>
      <c r="R2" s="5"/>
    </row>
    <row r="3" spans="1:18" ht="45.75" customHeight="1" thickBot="1">
      <c r="B3" s="40"/>
      <c r="D3" s="39"/>
      <c r="E3" s="18"/>
      <c r="F3" s="18"/>
      <c r="G3" s="18"/>
      <c r="H3" s="18"/>
      <c r="I3" s="18"/>
      <c r="J3" s="18"/>
      <c r="K3" s="18"/>
      <c r="L3" s="18"/>
      <c r="M3" s="5"/>
      <c r="N3" s="15"/>
      <c r="O3" s="15"/>
      <c r="P3" s="5"/>
      <c r="Q3" s="5"/>
      <c r="R3" s="5"/>
    </row>
    <row r="4" spans="1:18" ht="31.5" customHeight="1">
      <c r="B4" s="17"/>
      <c r="C4" s="17"/>
      <c r="D4" s="17"/>
      <c r="E4" s="18"/>
      <c r="F4" s="18"/>
      <c r="G4" s="18"/>
      <c r="H4" s="18"/>
      <c r="I4" s="18"/>
      <c r="J4" s="18"/>
      <c r="K4" s="18"/>
      <c r="L4" s="18"/>
      <c r="M4" s="5"/>
      <c r="N4" s="5"/>
      <c r="O4" s="5"/>
      <c r="P4" s="5"/>
      <c r="Q4" s="5"/>
      <c r="R4" s="5"/>
    </row>
    <row r="5" spans="1:18" ht="35.25" customHeight="1">
      <c r="B5" s="1"/>
      <c r="C5" s="167" t="s">
        <v>38</v>
      </c>
      <c r="D5" s="167"/>
      <c r="E5" s="167"/>
      <c r="F5" s="167"/>
      <c r="G5" s="167"/>
      <c r="H5" s="167"/>
      <c r="I5" s="167"/>
      <c r="J5" s="167"/>
      <c r="K5" s="167"/>
      <c r="L5" s="101"/>
    </row>
    <row r="6" spans="1:18" ht="11.25" customHeight="1">
      <c r="B6" s="1"/>
      <c r="C6" s="123"/>
      <c r="D6" s="123"/>
      <c r="E6" s="123"/>
      <c r="F6" s="123"/>
      <c r="G6" s="123"/>
      <c r="H6" s="123"/>
      <c r="I6" s="123"/>
      <c r="J6" s="123"/>
      <c r="K6" s="123"/>
      <c r="L6" s="123"/>
    </row>
    <row r="7" spans="1:18" ht="19.5" hidden="1" customHeight="1">
      <c r="B7" s="1"/>
    </row>
    <row r="8" spans="1:18" ht="44.25" customHeight="1">
      <c r="B8" s="1"/>
      <c r="C8" s="168" t="s">
        <v>25</v>
      </c>
      <c r="D8" s="169"/>
      <c r="E8" s="170"/>
      <c r="F8" s="168" t="s">
        <v>35</v>
      </c>
      <c r="G8" s="169"/>
      <c r="H8" s="170"/>
      <c r="I8" s="168" t="s">
        <v>42</v>
      </c>
      <c r="J8" s="169"/>
      <c r="K8" s="170"/>
      <c r="L8" s="98"/>
    </row>
    <row r="9" spans="1:18" ht="39" customHeight="1">
      <c r="B9" s="2"/>
      <c r="C9" s="171" t="str">
        <f>'حساب طلوع القزق'!G5</f>
        <v>فسبر3</v>
      </c>
      <c r="D9" s="172"/>
      <c r="E9" s="173"/>
      <c r="F9" s="215" t="str">
        <f>'حساب طلوع القزق'!I5</f>
        <v>شركة فسبر جروب</v>
      </c>
      <c r="G9" s="216"/>
      <c r="H9" s="217"/>
      <c r="I9" s="218">
        <f>'حساب طلوع القزق'!K5</f>
        <v>1110014955</v>
      </c>
      <c r="J9" s="219"/>
      <c r="K9" s="220"/>
      <c r="L9" s="98"/>
      <c r="M9" s="5"/>
    </row>
    <row r="10" spans="1:18" ht="15.75" customHeight="1">
      <c r="B10" s="1"/>
      <c r="C10" s="93"/>
      <c r="D10" s="94"/>
      <c r="E10" s="94"/>
      <c r="F10" s="4"/>
      <c r="G10" s="2"/>
      <c r="H10" s="2"/>
      <c r="I10" s="2"/>
      <c r="J10" s="2"/>
      <c r="K10" s="5"/>
      <c r="L10" s="5"/>
    </row>
    <row r="11" spans="1:18" ht="30">
      <c r="B11" s="2"/>
      <c r="C11" s="93"/>
      <c r="D11" s="95"/>
      <c r="E11" s="96"/>
      <c r="F11" s="45"/>
      <c r="G11" s="2"/>
      <c r="H11" s="2"/>
      <c r="I11" s="2"/>
      <c r="J11" s="2"/>
      <c r="K11" s="5"/>
      <c r="L11" s="5"/>
      <c r="M11" s="5"/>
    </row>
    <row r="12" spans="1:18" ht="38.25" customHeight="1">
      <c r="B12" s="2"/>
      <c r="D12" s="224" t="s">
        <v>18</v>
      </c>
      <c r="E12" s="224"/>
      <c r="F12" s="224" t="s">
        <v>36</v>
      </c>
      <c r="G12" s="224"/>
      <c r="H12" s="224" t="s">
        <v>37</v>
      </c>
      <c r="I12" s="224"/>
      <c r="J12" s="224"/>
      <c r="K12" s="124"/>
      <c r="L12" s="97"/>
      <c r="M12" s="5"/>
    </row>
    <row r="13" spans="1:18" ht="40.5" customHeight="1">
      <c r="B13" s="1"/>
      <c r="C13" s="124"/>
      <c r="D13" s="222">
        <f>'حساب طلوع القزق'!C5</f>
        <v>10</v>
      </c>
      <c r="E13" s="223"/>
      <c r="F13" s="222">
        <f>'حساب طلوع القزق'!E5</f>
        <v>10</v>
      </c>
      <c r="G13" s="223"/>
      <c r="H13" s="229">
        <f>'حساب طلوع القزق'!K16</f>
        <v>5000</v>
      </c>
      <c r="I13" s="230"/>
      <c r="J13" s="231"/>
      <c r="K13" s="124"/>
      <c r="L13" s="52"/>
      <c r="M13" s="5"/>
    </row>
    <row r="14" spans="1:18" ht="25.5">
      <c r="B14" s="1"/>
      <c r="C14" s="93"/>
      <c r="D14" s="7"/>
      <c r="E14" s="8"/>
      <c r="F14" s="10"/>
      <c r="G14" s="12"/>
      <c r="H14" s="13"/>
      <c r="I14" s="13"/>
      <c r="J14" s="13"/>
      <c r="K14" s="9"/>
      <c r="L14" s="52"/>
    </row>
    <row r="15" spans="1:18" ht="27.75">
      <c r="B15" s="1"/>
      <c r="C15" s="99"/>
      <c r="D15" s="226" t="s">
        <v>40</v>
      </c>
      <c r="E15" s="226"/>
      <c r="F15" s="226"/>
      <c r="G15" s="226"/>
      <c r="H15" s="226"/>
      <c r="I15" s="226"/>
      <c r="J15" s="226"/>
      <c r="K15" s="100"/>
      <c r="L15" s="100"/>
      <c r="M15" s="5"/>
    </row>
    <row r="16" spans="1:18" ht="35.25" customHeight="1">
      <c r="B16" s="1"/>
      <c r="C16" s="2"/>
      <c r="D16" s="227">
        <f ca="1">TODAY()</f>
        <v>46038</v>
      </c>
      <c r="E16" s="228"/>
      <c r="F16" s="228"/>
      <c r="G16" s="125" t="s">
        <v>39</v>
      </c>
      <c r="H16" s="227">
        <f ca="1">D16+F13</f>
        <v>46048</v>
      </c>
      <c r="I16" s="228"/>
      <c r="J16" s="228"/>
    </row>
    <row r="17" spans="2:11" ht="15.75" customHeight="1">
      <c r="B17" s="1"/>
      <c r="C17" s="1"/>
      <c r="D17" s="1"/>
      <c r="E17" s="1"/>
      <c r="F17" s="1"/>
      <c r="G17" s="1"/>
      <c r="H17" s="1"/>
      <c r="I17" s="1"/>
      <c r="J17" s="1"/>
    </row>
    <row r="18" spans="2:11" ht="25.5">
      <c r="B18" s="1"/>
      <c r="C18" s="225" t="s">
        <v>41</v>
      </c>
      <c r="D18" s="225"/>
      <c r="E18" s="225"/>
      <c r="F18" s="225"/>
      <c r="G18" s="225"/>
      <c r="H18" s="225"/>
      <c r="I18" s="225"/>
      <c r="J18" s="225"/>
      <c r="K18" s="225"/>
    </row>
    <row r="19" spans="2:11" ht="25.5">
      <c r="B19" s="1"/>
      <c r="C19" s="126"/>
      <c r="D19" s="126"/>
      <c r="E19" s="126"/>
      <c r="F19" s="126"/>
      <c r="G19" s="126"/>
      <c r="H19" s="126"/>
      <c r="I19" s="126"/>
      <c r="J19" s="126"/>
      <c r="K19" s="126"/>
    </row>
    <row r="20" spans="2:11" ht="31.5" customHeight="1">
      <c r="B20" s="1"/>
      <c r="C20" s="1"/>
      <c r="D20" s="221">
        <f ca="1">TODAY()</f>
        <v>46038</v>
      </c>
      <c r="E20" s="221"/>
      <c r="F20" s="1"/>
      <c r="G20" s="1" t="s">
        <v>15</v>
      </c>
      <c r="H20" s="1"/>
      <c r="I20" s="1"/>
      <c r="J20" s="1"/>
    </row>
    <row r="21" spans="2:11" ht="25.5">
      <c r="B21" s="1"/>
      <c r="C21" s="1"/>
      <c r="D21" s="1"/>
      <c r="E21" s="1"/>
      <c r="F21" s="1"/>
      <c r="G21" s="1"/>
      <c r="H21" s="1"/>
      <c r="I21" s="1"/>
      <c r="J21" s="1"/>
    </row>
  </sheetData>
  <sheetProtection algorithmName="SHA-512" hashValue="63tmEgCWIF/jQ+741nsJt0rXl1tXWCule8XBrXocywR9Ho+xME8tO0wv2rEcWed/2lKSbD5bpmKF2TMJTMKt3g==" saltValue="92cjblWeDWsH5+Pi3h4l0Q==" spinCount="100000" sheet="1" objects="1" scenarios="1"/>
  <mergeCells count="18">
    <mergeCell ref="D20:E20"/>
    <mergeCell ref="C8:E8"/>
    <mergeCell ref="C9:E9"/>
    <mergeCell ref="D13:E13"/>
    <mergeCell ref="D12:E12"/>
    <mergeCell ref="C18:K18"/>
    <mergeCell ref="D15:J15"/>
    <mergeCell ref="D16:F16"/>
    <mergeCell ref="H16:J16"/>
    <mergeCell ref="F12:G12"/>
    <mergeCell ref="F13:G13"/>
    <mergeCell ref="H12:J12"/>
    <mergeCell ref="H13:J13"/>
    <mergeCell ref="C5:K5"/>
    <mergeCell ref="F8:H8"/>
    <mergeCell ref="F9:H9"/>
    <mergeCell ref="I8:K8"/>
    <mergeCell ref="I9:K9"/>
  </mergeCells>
  <pageMargins left="0.25" right="0.46" top="0.7" bottom="0.75" header="0.17" footer="0.3"/>
  <pageSetup paperSize="9" scale="86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9</vt:i4>
      </vt:variant>
      <vt:variant>
        <vt:lpstr>النطاقات المسماة</vt:lpstr>
      </vt:variant>
      <vt:variant>
        <vt:i4>9</vt:i4>
      </vt:variant>
    </vt:vector>
  </HeadingPairs>
  <TitlesOfParts>
    <vt:vector size="18" baseType="lpstr">
      <vt:lpstr>الائحة</vt:lpstr>
      <vt:lpstr>حساب طلوع القزق</vt:lpstr>
      <vt:lpstr>مدة عادية</vt:lpstr>
      <vt:lpstr>1</vt:lpstr>
      <vt:lpstr>طواريء</vt:lpstr>
      <vt:lpstr>2</vt:lpstr>
      <vt:lpstr>انشاء </vt:lpstr>
      <vt:lpstr>3</vt:lpstr>
      <vt:lpstr>4</vt:lpstr>
      <vt:lpstr>1!Print_Area</vt:lpstr>
      <vt:lpstr>2!Print_Area</vt:lpstr>
      <vt:lpstr>3!Print_Area</vt:lpstr>
      <vt:lpstr>4!Print_Area</vt:lpstr>
      <vt:lpstr>الائحة!Print_Area</vt:lpstr>
      <vt:lpstr>انشاء !Print_Area</vt:lpstr>
      <vt:lpstr>حساب طلوع القزق!Print_Area</vt:lpstr>
      <vt:lpstr>طواريء!Print_Area</vt:lpstr>
      <vt:lpstr>مدة عادية!Print_Area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</dc:creator>
  <cp:lastModifiedBy>PC</cp:lastModifiedBy>
  <cp:lastPrinted>2026-01-15T09:01:33Z</cp:lastPrinted>
  <dcterms:created xsi:type="dcterms:W3CDTF">2020-07-27T17:08:38Z</dcterms:created>
  <dcterms:modified xsi:type="dcterms:W3CDTF">2026-01-15T11:11:47Z</dcterms:modified>
</cp:coreProperties>
</file>